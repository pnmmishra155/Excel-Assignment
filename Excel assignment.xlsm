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pnmmi\Desktop\"/>
    </mc:Choice>
  </mc:AlternateContent>
  <xr:revisionPtr revIDLastSave="0" documentId="13_ncr:1_{4D92541F-2070-40E5-996F-4D1E94A5F423}" xr6:coauthVersionLast="47" xr6:coauthVersionMax="47" xr10:uidLastSave="{00000000-0000-0000-0000-000000000000}"/>
  <bookViews>
    <workbookView xWindow="-120" yWindow="-120" windowWidth="24240" windowHeight="13020" tabRatio="792" firstSheet="2" activeTab="4" xr2:uid="{00000000-000D-0000-FFFF-FFFF00000000}"/>
  </bookViews>
  <sheets>
    <sheet name="experience (Years &amp; Months)" sheetId="2" r:id="rId1"/>
    <sheet name=" Road Accident Analysis" sheetId="23" r:id="rId2"/>
    <sheet name="Road_Accident_Dataset_100_Rows" sheetId="1" r:id="rId3"/>
    <sheet name="Road Accident Dashboard." sheetId="13" r:id="rId4"/>
    <sheet name="Insights from the Road Accident" sheetId="15" r:id="rId5"/>
    <sheet name="use Macros to highlight stock c" sheetId="20" r:id="rId6"/>
    <sheet name="Create a drop-down list" sheetId="19" r:id="rId7"/>
  </sheets>
  <definedNames>
    <definedName name="_xlcn.WorksheetConnection_Road_Accident_DatasetQues7.xlsxTable2" hidden="1">Table2[]</definedName>
    <definedName name="Slicer_Cause">#N/A</definedName>
    <definedName name="Slicer_Location">#N/A</definedName>
    <definedName name="Slicer_Road_Condition">#N/A</definedName>
    <definedName name="Slicer_Severity">#N/A</definedName>
    <definedName name="Slicer_Vehicle_Type">#N/A</definedName>
    <definedName name="Slicer_Weather_Condition">#N/A</definedName>
  </definedNames>
  <calcPr calcId="191029"/>
  <pivotCaches>
    <pivotCache cacheId="0" r:id="rId8"/>
    <pivotCache cacheId="1" r:id="rId9"/>
    <pivotCache cacheId="2" r:id="rId10"/>
    <pivotCache cacheId="3" r:id="rId11"/>
    <pivotCache cacheId="4" r:id="rId12"/>
    <pivotCache cacheId="5" r:id="rId13"/>
  </pivotCaches>
  <extLst>
    <ext xmlns:x14="http://schemas.microsoft.com/office/spreadsheetml/2009/9/main" uri="{876F7934-8845-4945-9796-88D515C7AA90}">
      <x14:pivotCaches>
        <pivotCache cacheId="6" r:id="rId14"/>
      </x14:pivotCaches>
    </ext>
    <ext xmlns:x14="http://schemas.microsoft.com/office/spreadsheetml/2009/9/main" uri="{BBE1A952-AA13-448e-AADC-164F8A28A991}">
      <x14:slicerCaches>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heet1_298b54f5-50ba-4a49-9083-95997f0019d1" name="Sheet1" connection="Query - Sheet1"/>
          <x15:modelTable id="Table2" name="Table2" connection="WorksheetConnection_Road_Accident_Dataset (Ques 7).xlsx!Table2"/>
        </x15:modelTables>
        <x15:extLst>
          <ext xmlns:x16="http://schemas.microsoft.com/office/spreadsheetml/2014/11/main" uri="{9835A34E-60A6-4A7C-AAB8-D5F71C897F49}">
            <x16:modelTimeGroupings>
              <x16:modelTimeGrouping tableName="Table2"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4" i="19" l="1"/>
  <c r="E12" i="2"/>
  <c r="E11" i="2"/>
  <c r="E10" i="2"/>
  <c r="E9" i="2"/>
  <c r="E8" i="2"/>
  <c r="E7" i="2"/>
  <c r="E6" i="2"/>
  <c r="E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FC8965-3F65-46E8-ACAE-8FBBA551697F}" name="Query - Sheet1" description="Connection to the 'Sheet1' query in the workbook." type="100" refreshedVersion="8" minRefreshableVersion="5">
    <extLst>
      <ext xmlns:x15="http://schemas.microsoft.com/office/spreadsheetml/2010/11/main" uri="{DE250136-89BD-433C-8126-D09CA5730AF9}">
        <x15:connection id="5fc8e0ff-a604-4900-a061-fb9d3277da65"/>
      </ext>
    </extLst>
  </connection>
  <connection id="2" xr16:uid="{72A7F2A8-F1FD-42E5-9A66-0A08AE905F9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1D35CA75-5C6E-453C-A3B6-4FBD86BE949B}" name="WorksheetConnection_Road_Accident_Dataset (Ques 7).xlsx!Table2" type="102" refreshedVersion="8" minRefreshableVersion="5">
    <extLst>
      <ext xmlns:x15="http://schemas.microsoft.com/office/spreadsheetml/2010/11/main" uri="{DE250136-89BD-433C-8126-D09CA5730AF9}">
        <x15:connection id="Table2" autoDelete="1">
          <x15:rangePr sourceName="_xlcn.WorksheetConnection_Road_Accident_DatasetQues7.xlsxTable2"/>
        </x15:connection>
      </ext>
    </extLst>
  </connection>
</connections>
</file>

<file path=xl/sharedStrings.xml><?xml version="1.0" encoding="utf-8"?>
<sst xmlns="http://schemas.openxmlformats.org/spreadsheetml/2006/main" count="1199" uniqueCount="346">
  <si>
    <t>Accident ID</t>
  </si>
  <si>
    <t>Date</t>
  </si>
  <si>
    <t>Location</t>
  </si>
  <si>
    <t>Accident Type</t>
  </si>
  <si>
    <t>Vehicle Type</t>
  </si>
  <si>
    <t>Weather Condition</t>
  </si>
  <si>
    <t>Road Condition</t>
  </si>
  <si>
    <t>Severity</t>
  </si>
  <si>
    <t>Cause</t>
  </si>
  <si>
    <t>Casualties</t>
  </si>
  <si>
    <t>AID0001</t>
  </si>
  <si>
    <t>Hyderabad</t>
  </si>
  <si>
    <t>Overturn</t>
  </si>
  <si>
    <t>Auto-Rickshaw</t>
  </si>
  <si>
    <t>Clear</t>
  </si>
  <si>
    <t>Dry</t>
  </si>
  <si>
    <t>Moderate</t>
  </si>
  <si>
    <t>Overtaking</t>
  </si>
  <si>
    <t>AID0002</t>
  </si>
  <si>
    <t>Mumbai</t>
  </si>
  <si>
    <t>Foggy</t>
  </si>
  <si>
    <t>Damaged</t>
  </si>
  <si>
    <t>Distracted Driving</t>
  </si>
  <si>
    <t>AID0003</t>
  </si>
  <si>
    <t>Bicycle</t>
  </si>
  <si>
    <t>Windy</t>
  </si>
  <si>
    <t>Under Construction</t>
  </si>
  <si>
    <t>Fatal</t>
  </si>
  <si>
    <t>AID0004</t>
  </si>
  <si>
    <t>Pune</t>
  </si>
  <si>
    <t>Collision</t>
  </si>
  <si>
    <t>Truck</t>
  </si>
  <si>
    <t>Brake Failure</t>
  </si>
  <si>
    <t>AID0005</t>
  </si>
  <si>
    <t>Bangalore</t>
  </si>
  <si>
    <t>Animal Hit</t>
  </si>
  <si>
    <t>Weather</t>
  </si>
  <si>
    <t>AID0006</t>
  </si>
  <si>
    <t>Car</t>
  </si>
  <si>
    <t>Rainy</t>
  </si>
  <si>
    <t>Minor</t>
  </si>
  <si>
    <t>Drunk Driving</t>
  </si>
  <si>
    <t>AID0007</t>
  </si>
  <si>
    <t>Delhi</t>
  </si>
  <si>
    <t>Speeding</t>
  </si>
  <si>
    <t>AID0008</t>
  </si>
  <si>
    <t>Wet</t>
  </si>
  <si>
    <t>AID0009</t>
  </si>
  <si>
    <t>AID0010</t>
  </si>
  <si>
    <t>Ahmedabad</t>
  </si>
  <si>
    <t>Motorcycle</t>
  </si>
  <si>
    <t>Severe</t>
  </si>
  <si>
    <t>AID0011</t>
  </si>
  <si>
    <t>Object Hit</t>
  </si>
  <si>
    <t>AID0012</t>
  </si>
  <si>
    <t>Pedestrian Hit</t>
  </si>
  <si>
    <t>AID0013</t>
  </si>
  <si>
    <t>AID0014</t>
  </si>
  <si>
    <t>Chennai</t>
  </si>
  <si>
    <t>Bus</t>
  </si>
  <si>
    <t>AID0015</t>
  </si>
  <si>
    <t>AID0016</t>
  </si>
  <si>
    <t>AID0017</t>
  </si>
  <si>
    <t>AID0018</t>
  </si>
  <si>
    <t>Kolkata</t>
  </si>
  <si>
    <t>AID0019</t>
  </si>
  <si>
    <t>AID0020</t>
  </si>
  <si>
    <t>AID0021</t>
  </si>
  <si>
    <t>AID0022</t>
  </si>
  <si>
    <t>AID0023</t>
  </si>
  <si>
    <t>AID0024</t>
  </si>
  <si>
    <t>AID0025</t>
  </si>
  <si>
    <t>AID0026</t>
  </si>
  <si>
    <t>AID0027</t>
  </si>
  <si>
    <t>AID0028</t>
  </si>
  <si>
    <t>AID0029</t>
  </si>
  <si>
    <t>AID0030</t>
  </si>
  <si>
    <t>AID0031</t>
  </si>
  <si>
    <t>AID0032</t>
  </si>
  <si>
    <t>AID0033</t>
  </si>
  <si>
    <t>AID0034</t>
  </si>
  <si>
    <t>AID0035</t>
  </si>
  <si>
    <t>AID0036</t>
  </si>
  <si>
    <t>AID0037</t>
  </si>
  <si>
    <t>AID0038</t>
  </si>
  <si>
    <t>AID0039</t>
  </si>
  <si>
    <t>AID0040</t>
  </si>
  <si>
    <t>AID0041</t>
  </si>
  <si>
    <t>AID0042</t>
  </si>
  <si>
    <t>AID0043</t>
  </si>
  <si>
    <t>AID0044</t>
  </si>
  <si>
    <t>AID0045</t>
  </si>
  <si>
    <t>AID0046</t>
  </si>
  <si>
    <t>AID0047</t>
  </si>
  <si>
    <t>AID0048</t>
  </si>
  <si>
    <t>AID0049</t>
  </si>
  <si>
    <t>AID0050</t>
  </si>
  <si>
    <t>AID0051</t>
  </si>
  <si>
    <t>AID0052</t>
  </si>
  <si>
    <t>AID0053</t>
  </si>
  <si>
    <t>AID0054</t>
  </si>
  <si>
    <t>AID0055</t>
  </si>
  <si>
    <t>AID0056</t>
  </si>
  <si>
    <t>AID0057</t>
  </si>
  <si>
    <t>AID0058</t>
  </si>
  <si>
    <t>AID0059</t>
  </si>
  <si>
    <t>AID0060</t>
  </si>
  <si>
    <t>AID0061</t>
  </si>
  <si>
    <t>AID0062</t>
  </si>
  <si>
    <t>AID0063</t>
  </si>
  <si>
    <t>AID0064</t>
  </si>
  <si>
    <t>AID0065</t>
  </si>
  <si>
    <t>AID0066</t>
  </si>
  <si>
    <t>AID0067</t>
  </si>
  <si>
    <t>AID0068</t>
  </si>
  <si>
    <t>AID0069</t>
  </si>
  <si>
    <t>AID0070</t>
  </si>
  <si>
    <t>AID0071</t>
  </si>
  <si>
    <t>AID0072</t>
  </si>
  <si>
    <t>AID0073</t>
  </si>
  <si>
    <t>AID0074</t>
  </si>
  <si>
    <t>AID0075</t>
  </si>
  <si>
    <t>AID0076</t>
  </si>
  <si>
    <t>AID0077</t>
  </si>
  <si>
    <t>AID0078</t>
  </si>
  <si>
    <t>AID0079</t>
  </si>
  <si>
    <t>AID0080</t>
  </si>
  <si>
    <t>AID0081</t>
  </si>
  <si>
    <t>AID0082</t>
  </si>
  <si>
    <t>AID0083</t>
  </si>
  <si>
    <t>AID0084</t>
  </si>
  <si>
    <t>AID0085</t>
  </si>
  <si>
    <t>AID0086</t>
  </si>
  <si>
    <t>AID0087</t>
  </si>
  <si>
    <t>AID0088</t>
  </si>
  <si>
    <t>AID0089</t>
  </si>
  <si>
    <t>AID0090</t>
  </si>
  <si>
    <t>AID0091</t>
  </si>
  <si>
    <t>AID0092</t>
  </si>
  <si>
    <t>AID0093</t>
  </si>
  <si>
    <t>AID0094</t>
  </si>
  <si>
    <t>AID0095</t>
  </si>
  <si>
    <t>AID0096</t>
  </si>
  <si>
    <t>AID0097</t>
  </si>
  <si>
    <t>AID0098</t>
  </si>
  <si>
    <t>AID0099</t>
  </si>
  <si>
    <t>AID0100</t>
  </si>
  <si>
    <t>Employee ID</t>
  </si>
  <si>
    <t>Employee Name</t>
  </si>
  <si>
    <t>Joining Date</t>
  </si>
  <si>
    <t>Experience (Years &amp; Months)</t>
  </si>
  <si>
    <t>E001</t>
  </si>
  <si>
    <t>Rahul Sharma</t>
  </si>
  <si>
    <t>E002</t>
  </si>
  <si>
    <t>Pooja Verma</t>
  </si>
  <si>
    <t>2019-01-10</t>
  </si>
  <si>
    <t>E003</t>
  </si>
  <si>
    <t>Amit Kumar</t>
  </si>
  <si>
    <t>2017-09-25</t>
  </si>
  <si>
    <t>E004</t>
  </si>
  <si>
    <t>Neha Singh</t>
  </si>
  <si>
    <t>2020-03-05</t>
  </si>
  <si>
    <t>E005</t>
  </si>
  <si>
    <t>Rohan Gupta</t>
  </si>
  <si>
    <t>2016-11-12</t>
  </si>
  <si>
    <t>E006</t>
  </si>
  <si>
    <t>Anjali Mehta</t>
  </si>
  <si>
    <t>2015-07-20</t>
  </si>
  <si>
    <t>E007</t>
  </si>
  <si>
    <t>Suresh Yadav</t>
  </si>
  <si>
    <t>2021-02-01</t>
  </si>
  <si>
    <t>E008</t>
  </si>
  <si>
    <t>Kavita Mishra</t>
  </si>
  <si>
    <t>2019-08-18</t>
  </si>
  <si>
    <t>Row Labels</t>
  </si>
  <si>
    <t>Grand Total</t>
  </si>
  <si>
    <t>Count of Accident ID</t>
  </si>
  <si>
    <t>Total Accidents by Location</t>
  </si>
  <si>
    <t>Question 6: Create a dataset of 8 employees with joining dates and calculate their experience in years and months</t>
  </si>
  <si>
    <t>Accidents by Severity</t>
  </si>
  <si>
    <t>Casualties by Vehicle Type</t>
  </si>
  <si>
    <t>Sum of Casualties</t>
  </si>
  <si>
    <t>Accidents by Cause</t>
  </si>
  <si>
    <t>Accident by Weather Condition</t>
  </si>
  <si>
    <t>Accident By Road condition</t>
  </si>
  <si>
    <t xml:space="preserve"> Road Accident Analysis</t>
  </si>
  <si>
    <t>1. Accidents by Location</t>
  </si>
  <si>
    <r>
      <t xml:space="preserve">Major metropolitan cities such as </t>
    </r>
    <r>
      <rPr>
        <b/>
        <sz val="10"/>
        <color rgb="FF000000"/>
        <rFont val="Arial"/>
        <family val="2"/>
        <scheme val="minor"/>
      </rPr>
      <t>Mumbai, Bangalore, and Chennai</t>
    </r>
    <r>
      <rPr>
        <sz val="10"/>
        <color rgb="FF000000"/>
        <rFont val="Arial"/>
        <family val="2"/>
        <scheme val="minor"/>
      </rPr>
      <t xml:space="preserve"> record the highest number of road accidents. This indicates higher traffic density and increased risk in urban areas.</t>
    </r>
  </si>
  <si>
    <t>2. Accidents by Severity</t>
  </si>
  <si>
    <r>
      <t xml:space="preserve">While </t>
    </r>
    <r>
      <rPr>
        <b/>
        <sz val="10"/>
        <color rgb="FF000000"/>
        <rFont val="Arial"/>
        <family val="2"/>
        <scheme val="minor"/>
      </rPr>
      <t>moderate and minor accidents</t>
    </r>
    <r>
      <rPr>
        <sz val="10"/>
        <color rgb="FF000000"/>
        <rFont val="Arial"/>
        <family val="2"/>
        <scheme val="minor"/>
      </rPr>
      <t xml:space="preserve"> form a large portion of the total cases, a significant number of </t>
    </r>
    <r>
      <rPr>
        <b/>
        <sz val="10"/>
        <color rgb="FF000000"/>
        <rFont val="Arial"/>
        <family val="2"/>
        <scheme val="minor"/>
      </rPr>
      <t>severe and fatal accidents</t>
    </r>
    <r>
      <rPr>
        <sz val="10"/>
        <color rgb="FF000000"/>
        <rFont val="Arial"/>
        <family val="2"/>
        <scheme val="minor"/>
      </rPr>
      <t xml:space="preserve"> are also observed, highlighting serious road safety concerns.</t>
    </r>
  </si>
  <si>
    <t>3. Accidents by Vehicle Type</t>
  </si>
  <si>
    <r>
      <t>Cars and two-wheelers (motorcycles)</t>
    </r>
    <r>
      <rPr>
        <sz val="10"/>
        <color rgb="FF000000"/>
        <rFont val="Arial"/>
        <family val="2"/>
        <scheme val="minor"/>
      </rPr>
      <t xml:space="preserve"> are involved in the majority of accidents, making them the most vulnerable vehicle categories. Heavy vehicles such as </t>
    </r>
    <r>
      <rPr>
        <b/>
        <sz val="10"/>
        <color rgb="FF000000"/>
        <rFont val="Arial"/>
        <family val="2"/>
        <scheme val="minor"/>
      </rPr>
      <t>trucks and buses</t>
    </r>
    <r>
      <rPr>
        <sz val="10"/>
        <color rgb="FF000000"/>
        <rFont val="Arial"/>
        <family val="2"/>
        <scheme val="minor"/>
      </rPr>
      <t>, though fewer in number, contribute to higher casualties.</t>
    </r>
  </si>
  <si>
    <t>4. Accidents by Cause</t>
  </si>
  <si>
    <r>
      <t>Speeding and distracted driving</t>
    </r>
    <r>
      <rPr>
        <sz val="10"/>
        <color rgb="FF000000"/>
        <rFont val="Arial"/>
        <family val="2"/>
        <scheme val="minor"/>
      </rPr>
      <t xml:space="preserve"> are the leading causes of accidents, followed by </t>
    </r>
    <r>
      <rPr>
        <b/>
        <sz val="10"/>
        <color rgb="FF000000"/>
        <rFont val="Arial"/>
        <family val="2"/>
        <scheme val="minor"/>
      </rPr>
      <t>overtaking and drunk driving</t>
    </r>
    <r>
      <rPr>
        <sz val="10"/>
        <color rgb="FF000000"/>
        <rFont val="Arial"/>
        <family val="2"/>
        <scheme val="minor"/>
      </rPr>
      <t>. This shows that human behavior is a major contributor to road accidents.</t>
    </r>
  </si>
  <si>
    <t>5. Weather Conditions</t>
  </si>
  <si>
    <r>
      <t xml:space="preserve">Accidents are more frequent during </t>
    </r>
    <r>
      <rPr>
        <b/>
        <sz val="10"/>
        <color rgb="FF000000"/>
        <rFont val="Arial"/>
        <family val="2"/>
        <scheme val="minor"/>
      </rPr>
      <t>foggy and rainy conditions</t>
    </r>
    <r>
      <rPr>
        <sz val="10"/>
        <color rgb="FF000000"/>
        <rFont val="Arial"/>
        <family val="2"/>
        <scheme val="minor"/>
      </rPr>
      <t>, as reduced visibility and slippery roads increase the likelihood of crashes.</t>
    </r>
  </si>
  <si>
    <t>6. Road Conditions</t>
  </si>
  <si>
    <r>
      <t xml:space="preserve">Roads that are </t>
    </r>
    <r>
      <rPr>
        <b/>
        <sz val="10"/>
        <color rgb="FF000000"/>
        <rFont val="Arial"/>
        <family val="2"/>
        <scheme val="minor"/>
      </rPr>
      <t>under construction or damaged</t>
    </r>
    <r>
      <rPr>
        <sz val="10"/>
        <color rgb="FF000000"/>
        <rFont val="Arial"/>
        <family val="2"/>
        <scheme val="minor"/>
      </rPr>
      <t xml:space="preserve"> account for a higher number of accidents compared to dry and well-maintained roads, indicating the impact of infrastructure on road safety.</t>
    </r>
  </si>
  <si>
    <t>Conclusion</t>
  </si>
  <si>
    <t xml:space="preserve">Insights from the Road Accident Analysis </t>
  </si>
  <si>
    <r>
      <t xml:space="preserve">The Road Accident Analysis shows that </t>
    </r>
    <r>
      <rPr>
        <b/>
        <sz val="10"/>
        <color rgb="FF000000"/>
        <rFont val="Arial"/>
        <family val="2"/>
        <scheme val="minor"/>
      </rPr>
      <t>urban locations, unsafe driving behavior, poor road conditions, and adverse weather</t>
    </r>
    <r>
      <rPr>
        <sz val="10"/>
        <color rgb="FF000000"/>
        <rFont val="Arial"/>
        <family val="2"/>
        <scheme val="minor"/>
      </rPr>
      <t xml:space="preserve"> are the major contributors to road accidents.</t>
    </r>
  </si>
  <si>
    <t xml:space="preserve"> By identifying high-risk areas and key causes, Effective measures such as stricter traffic enforcement by traffic authorities and policymakers, improved road infrastructure, and better</t>
  </si>
  <si>
    <t xml:space="preserve"> awareness programs can significantly reduce accident rates and improve overall road safety.</t>
  </si>
  <si>
    <t>Question 8: Create a table of 10 products with stock levels and use Macros to highlight stock conditions.</t>
  </si>
  <si>
    <t>Product Name</t>
  </si>
  <si>
    <t>Stock Level</t>
  </si>
  <si>
    <t>Question 9 : You are given a dataset : Create a drop-down list of product names in a
separate cell using Data Validation, and write a formula in the adjacent cell so that when
a product is selected from the drop-down, its corresponding price is automatically
displayed</t>
  </si>
  <si>
    <t>● Low stock (less than 10 units) in red ● Overstock (more than 50 units) in green.</t>
  </si>
  <si>
    <t>Product ID</t>
  </si>
  <si>
    <t>P001</t>
  </si>
  <si>
    <t>Keyboard</t>
  </si>
  <si>
    <t>P002</t>
  </si>
  <si>
    <t>Mouse</t>
  </si>
  <si>
    <t>P003</t>
  </si>
  <si>
    <t>Monitor</t>
  </si>
  <si>
    <t>P004</t>
  </si>
  <si>
    <t>Printer</t>
  </si>
  <si>
    <t>P005</t>
  </si>
  <si>
    <t>Laptop</t>
  </si>
  <si>
    <t>P006</t>
  </si>
  <si>
    <t>Scanner</t>
  </si>
  <si>
    <t>P007</t>
  </si>
  <si>
    <t>Webcam</t>
  </si>
  <si>
    <t>P008</t>
  </si>
  <si>
    <t>Headphones</t>
  </si>
  <si>
    <t>P009</t>
  </si>
  <si>
    <t>Speaker</t>
  </si>
  <si>
    <t>P010</t>
  </si>
  <si>
    <t>UPS</t>
  </si>
  <si>
    <t>Order ID</t>
  </si>
  <si>
    <t>Customer Name</t>
  </si>
  <si>
    <t>Region</t>
  </si>
  <si>
    <t>Product Category</t>
  </si>
  <si>
    <t>Quantity</t>
  </si>
  <si>
    <t>Unit Price (?)</t>
  </si>
  <si>
    <t>Total Sales (?)</t>
  </si>
  <si>
    <t>Profit Margin (%)</t>
  </si>
  <si>
    <t>Customer Age</t>
  </si>
  <si>
    <t>Payment Mode</t>
  </si>
  <si>
    <t>North India</t>
  </si>
  <si>
    <t>Electronics</t>
  </si>
  <si>
    <t>Smartwatch</t>
  </si>
  <si>
    <t>Credit Card</t>
  </si>
  <si>
    <t>Amit Verma</t>
  </si>
  <si>
    <t>West India</t>
  </si>
  <si>
    <t>Home Decor</t>
  </si>
  <si>
    <t>Wall Clock</t>
  </si>
  <si>
    <t>COD</t>
  </si>
  <si>
    <t>Sneha Kapoor</t>
  </si>
  <si>
    <t>East India</t>
  </si>
  <si>
    <t>Bluetooth Speaker</t>
  </si>
  <si>
    <t>NetBanking</t>
  </si>
  <si>
    <t>Rajesh Kumar</t>
  </si>
  <si>
    <t>Fashion</t>
  </si>
  <si>
    <t>Jeans</t>
  </si>
  <si>
    <t>Priya Singh</t>
  </si>
  <si>
    <t>South India</t>
  </si>
  <si>
    <t>UPI</t>
  </si>
  <si>
    <t>Karan Malhotra</t>
  </si>
  <si>
    <t>Sofa Set</t>
  </si>
  <si>
    <t>Neha Gupta</t>
  </si>
  <si>
    <t>Dress</t>
  </si>
  <si>
    <t>Vikram Patel</t>
  </si>
  <si>
    <t>Smartphone</t>
  </si>
  <si>
    <t>Ayesha Kapoor</t>
  </si>
  <si>
    <t>Dining Table Set</t>
  </si>
  <si>
    <t>Amitabh Verma</t>
  </si>
  <si>
    <t>Leather Jacket</t>
  </si>
  <si>
    <t>Sneha Gupta</t>
  </si>
  <si>
    <t>Nikhil Kumar</t>
  </si>
  <si>
    <t>Floor Lamp</t>
  </si>
  <si>
    <t>Meera Sharma</t>
  </si>
  <si>
    <t>Sneakers</t>
  </si>
  <si>
    <t>Aditya Verma</t>
  </si>
  <si>
    <t>Gaming Console</t>
  </si>
  <si>
    <t>Rohan Malhotra</t>
  </si>
  <si>
    <t>Drone Camera</t>
  </si>
  <si>
    <t>Neha Kapoor</t>
  </si>
  <si>
    <t>TV</t>
  </si>
  <si>
    <t>Kunal Singh</t>
  </si>
  <si>
    <t>Smart Glasses</t>
  </si>
  <si>
    <t>Alisha Roy</t>
  </si>
  <si>
    <t>Recliner Sofa</t>
  </si>
  <si>
    <t>Tarun Mishra</t>
  </si>
  <si>
    <t>Washing Machine</t>
  </si>
  <si>
    <t>Pooja Nair</t>
  </si>
  <si>
    <t>Earbuds</t>
  </si>
  <si>
    <t>Manish Tiwari</t>
  </si>
  <si>
    <t>Formal Shirt</t>
  </si>
  <si>
    <t>Shreya Desai</t>
  </si>
  <si>
    <t>Coffee Table</t>
  </si>
  <si>
    <t>Kabir Joshi</t>
  </si>
  <si>
    <t>Air Conditioner</t>
  </si>
  <si>
    <t>Anita Yadav</t>
  </si>
  <si>
    <t>Running Shoes</t>
  </si>
  <si>
    <t>Vivek Chopra</t>
  </si>
  <si>
    <t>Tablet</t>
  </si>
  <si>
    <t>Simran Kaur</t>
  </si>
  <si>
    <t>Neckband</t>
  </si>
  <si>
    <t>Nitin Bansal</t>
  </si>
  <si>
    <t>Bookshelf</t>
  </si>
  <si>
    <t>Rekha Reddy</t>
  </si>
  <si>
    <t>Microwave</t>
  </si>
  <si>
    <t>Gautam Saxena</t>
  </si>
  <si>
    <t>Backpack</t>
  </si>
  <si>
    <t>Preeti Rawat</t>
  </si>
  <si>
    <t>Gaming Mouse</t>
  </si>
  <si>
    <t>Ashok Sharma</t>
  </si>
  <si>
    <t>Leather Wallet</t>
  </si>
  <si>
    <t>Divya Nair</t>
  </si>
  <si>
    <t>Ceiling Fan</t>
  </si>
  <si>
    <t>Kiran Kapoor</t>
  </si>
  <si>
    <t>Sports Watch</t>
  </si>
  <si>
    <t>Yash Malhotra</t>
  </si>
  <si>
    <t>Router</t>
  </si>
  <si>
    <t>Anurag Verma</t>
  </si>
  <si>
    <t>Smart Bulb</t>
  </si>
  <si>
    <t>Ritika Shah</t>
  </si>
  <si>
    <t>Office Chair</t>
  </si>
  <si>
    <t>Tanmay Goel</t>
  </si>
  <si>
    <t>Blender</t>
  </si>
  <si>
    <t>Varun Singh</t>
  </si>
  <si>
    <t>Perfume</t>
  </si>
  <si>
    <t>Payal Mehta</t>
  </si>
  <si>
    <t>Power Bank</t>
  </si>
  <si>
    <t>Snehal Desai</t>
  </si>
  <si>
    <t>LED Bulb</t>
  </si>
  <si>
    <t>Ajay Patel</t>
  </si>
  <si>
    <t>Gym Gloves</t>
  </si>
  <si>
    <t>Kritika Gupta</t>
  </si>
  <si>
    <t>Wall Art</t>
  </si>
  <si>
    <t>Dinesh Nair</t>
  </si>
  <si>
    <t>Priyanka Rao</t>
  </si>
  <si>
    <t>Sunglasses</t>
  </si>
  <si>
    <t>Harsh Malhotra</t>
  </si>
  <si>
    <t>Lavanya Kapoor</t>
  </si>
  <si>
    <t>Trolley Bag</t>
  </si>
  <si>
    <t>Aniket Shah</t>
  </si>
  <si>
    <t>Curtains</t>
  </si>
  <si>
    <t>Niharika Joshi</t>
  </si>
  <si>
    <t>Induction Stove</t>
  </si>
  <si>
    <t>Ravi Sharma</t>
  </si>
  <si>
    <t>Travel Pillow</t>
  </si>
  <si>
    <t xml:space="preserve">Nova_Retail_Sales_Data </t>
  </si>
  <si>
    <t>Unique Product Name</t>
  </si>
  <si>
    <t>Question 7 : You are provided with a dataset containing details of 100 road 
accidents.Design a Road Accident Analysis Dashboard using Pivot Tables and 
Slicers in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</si>
</sst>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7" x14ac:knownFonts="1">
    <font>
      <sz val="10"/>
      <color rgb="FF000000"/>
      <name val="Arial"/>
      <scheme val="minor"/>
    </font>
    <font>
      <b/>
      <sz val="10"/>
      <color theme="1"/>
      <name val="Arial"/>
      <family val="2"/>
      <scheme val="minor"/>
    </font>
    <font>
      <sz val="10"/>
      <color theme="1"/>
      <name val="Arial"/>
      <family val="2"/>
      <scheme val="minor"/>
    </font>
    <font>
      <sz val="10"/>
      <color rgb="FF000000"/>
      <name val="Arial"/>
      <family val="2"/>
      <scheme val="minor"/>
    </font>
    <font>
      <b/>
      <sz val="11"/>
      <name val="Calibri"/>
      <family val="2"/>
    </font>
    <font>
      <b/>
      <sz val="10"/>
      <color rgb="FF000000"/>
      <name val="Arial"/>
      <family val="2"/>
      <scheme val="minor"/>
    </font>
    <font>
      <sz val="12"/>
      <color rgb="FFFF0000"/>
      <name val="Arial"/>
      <family val="2"/>
      <scheme val="minor"/>
    </font>
    <font>
      <sz val="16"/>
      <color rgb="FF000000"/>
      <name val="Arial"/>
      <family val="2"/>
      <scheme val="minor"/>
    </font>
    <font>
      <sz val="22"/>
      <color rgb="FFFF0000"/>
      <name val="Arial"/>
      <family val="2"/>
      <scheme val="minor"/>
    </font>
    <font>
      <b/>
      <sz val="16"/>
      <color rgb="FFFF0000"/>
      <name val="Arial"/>
      <family val="2"/>
      <scheme val="minor"/>
    </font>
    <font>
      <b/>
      <sz val="18"/>
      <color theme="8" tint="-0.249977111117893"/>
      <name val="Arial"/>
      <family val="2"/>
      <scheme val="minor"/>
    </font>
    <font>
      <b/>
      <sz val="16"/>
      <color rgb="FF000000"/>
      <name val="Arial"/>
      <family val="2"/>
      <scheme val="minor"/>
    </font>
    <font>
      <b/>
      <sz val="14"/>
      <color rgb="FF000000"/>
      <name val="Arial"/>
      <family val="2"/>
      <scheme val="minor"/>
    </font>
    <font>
      <b/>
      <sz val="12"/>
      <color rgb="FF000000"/>
      <name val="Arial"/>
      <family val="2"/>
      <scheme val="minor"/>
    </font>
    <font>
      <b/>
      <sz val="10"/>
      <color rgb="FF000000"/>
      <name val="Arial"/>
      <scheme val="minor"/>
    </font>
    <font>
      <b/>
      <sz val="11"/>
      <color rgb="FF000000"/>
      <name val="Calibri"/>
      <family val="2"/>
    </font>
    <font>
      <sz val="11"/>
      <color rgb="FF000000"/>
      <name val="Calibri"/>
      <family val="2"/>
    </font>
  </fonts>
  <fills count="8">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FF0000"/>
        <bgColor indexed="64"/>
      </patternFill>
    </fill>
    <fill>
      <patternFill patternType="solid">
        <fgColor rgb="FF00FF00"/>
        <bgColor indexed="64"/>
      </patternFill>
    </fill>
    <fill>
      <patternFill patternType="solid">
        <fgColor rgb="FFFFFF00"/>
        <bgColor indexed="64"/>
      </patternFill>
    </fill>
  </fills>
  <borders count="7">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40">
    <xf numFmtId="0" fontId="0" fillId="0" borderId="0" xfId="0"/>
    <xf numFmtId="0" fontId="1" fillId="0" borderId="0" xfId="0" applyFont="1"/>
    <xf numFmtId="0" fontId="2" fillId="0" borderId="0" xfId="0" applyFont="1"/>
    <xf numFmtId="164" fontId="2" fillId="0" borderId="0" xfId="0" applyNumberFormat="1" applyFont="1"/>
    <xf numFmtId="0" fontId="4" fillId="0" borderId="0" xfId="0" applyFont="1" applyAlignment="1">
      <alignment horizontal="center"/>
    </xf>
    <xf numFmtId="0" fontId="0" fillId="0" borderId="0" xfId="0" pivotButton="1"/>
    <xf numFmtId="0" fontId="0" fillId="0" borderId="0" xfId="0" applyAlignment="1">
      <alignment horizontal="left"/>
    </xf>
    <xf numFmtId="14" fontId="0" fillId="0" borderId="0" xfId="0" applyNumberFormat="1"/>
    <xf numFmtId="0" fontId="3" fillId="0" borderId="0" xfId="0" applyFont="1"/>
    <xf numFmtId="0" fontId="0" fillId="3" borderId="0" xfId="0" applyFill="1"/>
    <xf numFmtId="0" fontId="0" fillId="4" borderId="0" xfId="0" applyFill="1"/>
    <xf numFmtId="0" fontId="10" fillId="4" borderId="1" xfId="0" applyFont="1" applyFill="1" applyBorder="1" applyAlignment="1">
      <alignment vertical="center"/>
    </xf>
    <xf numFmtId="0" fontId="0" fillId="4" borderId="2" xfId="0" applyFill="1" applyBorder="1"/>
    <xf numFmtId="0" fontId="0" fillId="4" borderId="3" xfId="0" applyFill="1" applyBorder="1"/>
    <xf numFmtId="0" fontId="0" fillId="4" borderId="0" xfId="0" applyFill="1" applyAlignment="1">
      <alignment horizontal="left" vertical="center" indent="1"/>
    </xf>
    <xf numFmtId="0" fontId="5" fillId="4" borderId="0" xfId="0" applyFont="1" applyFill="1" applyAlignment="1">
      <alignment horizontal="left" vertical="center" indent="1"/>
    </xf>
    <xf numFmtId="0" fontId="3" fillId="4" borderId="0" xfId="0" applyFont="1" applyFill="1" applyAlignment="1">
      <alignment horizontal="left" vertical="center" indent="1"/>
    </xf>
    <xf numFmtId="0" fontId="3" fillId="4" borderId="0" xfId="0" applyFont="1" applyFill="1"/>
    <xf numFmtId="0" fontId="5" fillId="0" borderId="0" xfId="0" applyFont="1"/>
    <xf numFmtId="0" fontId="11" fillId="0" borderId="0" xfId="0" applyFont="1"/>
    <xf numFmtId="0" fontId="13" fillId="0" borderId="0" xfId="0" applyFont="1"/>
    <xf numFmtId="0" fontId="14" fillId="0" borderId="0" xfId="0" applyFont="1" applyAlignment="1">
      <alignment horizontal="center" vertical="center" wrapText="1"/>
    </xf>
    <xf numFmtId="0" fontId="0" fillId="0" borderId="0" xfId="0" applyAlignment="1">
      <alignment vertical="center" wrapText="1"/>
    </xf>
    <xf numFmtId="0" fontId="0" fillId="5" borderId="0" xfId="0" applyFill="1" applyAlignment="1">
      <alignment vertical="center" wrapText="1"/>
    </xf>
    <xf numFmtId="0" fontId="0" fillId="6" borderId="0" xfId="0" applyFill="1" applyAlignment="1">
      <alignment vertical="center" wrapText="1"/>
    </xf>
    <xf numFmtId="0" fontId="15" fillId="0" borderId="4" xfId="0" applyFont="1" applyBorder="1" applyAlignment="1">
      <alignment horizontal="center" vertical="top" wrapText="1"/>
    </xf>
    <xf numFmtId="0" fontId="15" fillId="0" borderId="5" xfId="0" applyFont="1" applyBorder="1" applyAlignment="1">
      <alignment horizontal="center" vertical="top" wrapText="1"/>
    </xf>
    <xf numFmtId="0" fontId="16" fillId="0" borderId="6" xfId="0" applyFont="1" applyBorder="1" applyAlignment="1">
      <alignment horizontal="right" wrapText="1"/>
    </xf>
    <xf numFmtId="14" fontId="16" fillId="0" borderId="6" xfId="0" applyNumberFormat="1" applyFont="1" applyBorder="1" applyAlignment="1">
      <alignment wrapText="1"/>
    </xf>
    <xf numFmtId="0" fontId="16" fillId="0" borderId="6" xfId="0" applyFont="1" applyBorder="1" applyAlignment="1">
      <alignment wrapText="1"/>
    </xf>
    <xf numFmtId="0" fontId="15" fillId="0" borderId="0" xfId="0" applyFont="1" applyAlignment="1">
      <alignment horizontal="center" vertical="top" wrapText="1"/>
    </xf>
    <xf numFmtId="0" fontId="3" fillId="0" borderId="0" xfId="0" applyFont="1" applyAlignment="1">
      <alignment wrapText="1"/>
    </xf>
    <xf numFmtId="0" fontId="6" fillId="0" borderId="0" xfId="0" applyFont="1" applyAlignment="1">
      <alignment horizontal="center"/>
    </xf>
    <xf numFmtId="0" fontId="7" fillId="0" borderId="0" xfId="0" applyFont="1" applyAlignment="1">
      <alignment horizontal="center" wrapText="1"/>
    </xf>
    <xf numFmtId="0" fontId="9" fillId="3" borderId="0" xfId="0" applyFont="1" applyFill="1" applyAlignment="1">
      <alignment horizontal="center"/>
    </xf>
    <xf numFmtId="0" fontId="8" fillId="2" borderId="1" xfId="0" applyFont="1" applyFill="1" applyBorder="1" applyAlignment="1">
      <alignment horizontal="center"/>
    </xf>
    <xf numFmtId="0" fontId="8" fillId="2" borderId="2" xfId="0" applyFont="1" applyFill="1" applyBorder="1" applyAlignment="1">
      <alignment horizontal="center"/>
    </xf>
    <xf numFmtId="0" fontId="8" fillId="2" borderId="3" xfId="0" applyFont="1" applyFill="1" applyBorder="1" applyAlignment="1">
      <alignment horizontal="center"/>
    </xf>
    <xf numFmtId="0" fontId="12" fillId="0" borderId="0" xfId="0" applyFont="1" applyAlignment="1">
      <alignment horizontal="center"/>
    </xf>
    <xf numFmtId="0" fontId="9" fillId="7" borderId="0" xfId="0" applyFont="1" applyFill="1" applyAlignment="1">
      <alignment horizontal="center"/>
    </xf>
  </cellXfs>
  <cellStyles count="1">
    <cellStyle name="Normal" xfId="0" builtinId="0"/>
  </cellStyles>
  <dxfs count="12">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164" formatCode="yyyy\-mm\-dd"/>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i val="0"/>
        <strike val="0"/>
        <condense val="0"/>
        <extend val="0"/>
        <outline val="0"/>
        <shadow val="0"/>
        <u val="none"/>
        <vertAlign val="baseline"/>
        <sz val="10"/>
        <color theme="1"/>
        <name val="Arial"/>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microsoft.com/office/2007/relationships/slicerCache" Target="slicerCaches/slicerCache4.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microsoft.com/office/2007/relationships/slicerCache" Target="slicerCaches/slicerCache3.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pivotCacheDefinition" Target="pivotCache/pivotCacheDefinition3.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assignment.xlsm]Road Accident Dashboard.!PivotTable2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Total Accidents by Location  </a:t>
            </a:r>
            <a:r>
              <a:rPr lang="en-US"/>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'Road Accident Dashboard.'!$D$7</c:f>
              <c:strCache>
                <c:ptCount val="1"/>
                <c:pt idx="0">
                  <c:v>Total</c:v>
                </c:pt>
              </c:strCache>
            </c:strRef>
          </c:tx>
          <c:spPr>
            <a:solidFill>
              <a:schemeClr val="accent1"/>
            </a:solidFill>
            <a:ln>
              <a:noFill/>
            </a:ln>
            <a:effectLst/>
          </c:spPr>
          <c:invertIfNegative val="0"/>
          <c:cat>
            <c:strRef>
              <c:f>'Road Accident Dashboard.'!$C$8:$C$16</c:f>
              <c:strCache>
                <c:ptCount val="8"/>
                <c:pt idx="0">
                  <c:v>Ahmedabad</c:v>
                </c:pt>
                <c:pt idx="1">
                  <c:v>Bangalore</c:v>
                </c:pt>
                <c:pt idx="2">
                  <c:v>Chennai</c:v>
                </c:pt>
                <c:pt idx="3">
                  <c:v>Delhi</c:v>
                </c:pt>
                <c:pt idx="4">
                  <c:v>Hyderabad</c:v>
                </c:pt>
                <c:pt idx="5">
                  <c:v>Kolkata</c:v>
                </c:pt>
                <c:pt idx="6">
                  <c:v>Mumbai</c:v>
                </c:pt>
                <c:pt idx="7">
                  <c:v>Pune</c:v>
                </c:pt>
              </c:strCache>
            </c:strRef>
          </c:cat>
          <c:val>
            <c:numRef>
              <c:f>'Road Accident Dashboard.'!$D$8:$D$16</c:f>
              <c:numCache>
                <c:formatCode>General</c:formatCode>
                <c:ptCount val="8"/>
                <c:pt idx="0">
                  <c:v>9</c:v>
                </c:pt>
                <c:pt idx="1">
                  <c:v>14</c:v>
                </c:pt>
                <c:pt idx="2">
                  <c:v>12</c:v>
                </c:pt>
                <c:pt idx="3">
                  <c:v>9</c:v>
                </c:pt>
                <c:pt idx="4">
                  <c:v>17</c:v>
                </c:pt>
                <c:pt idx="5">
                  <c:v>13</c:v>
                </c:pt>
                <c:pt idx="6">
                  <c:v>15</c:v>
                </c:pt>
                <c:pt idx="7">
                  <c:v>11</c:v>
                </c:pt>
              </c:numCache>
            </c:numRef>
          </c:val>
          <c:extLst>
            <c:ext xmlns:c16="http://schemas.microsoft.com/office/drawing/2014/chart" uri="{C3380CC4-5D6E-409C-BE32-E72D297353CC}">
              <c16:uniqueId val="{00000000-1EC1-4E15-9F6A-CCEE92B77101}"/>
            </c:ext>
          </c:extLst>
        </c:ser>
        <c:dLbls>
          <c:showLegendKey val="0"/>
          <c:showVal val="0"/>
          <c:showCatName val="0"/>
          <c:showSerName val="0"/>
          <c:showPercent val="0"/>
          <c:showBubbleSize val="0"/>
        </c:dLbls>
        <c:gapWidth val="219"/>
        <c:overlap val="-27"/>
        <c:axId val="349076719"/>
        <c:axId val="349076239"/>
      </c:barChart>
      <c:catAx>
        <c:axId val="3490767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076239"/>
        <c:crosses val="autoZero"/>
        <c:auto val="1"/>
        <c:lblAlgn val="ctr"/>
        <c:lblOffset val="100"/>
        <c:noMultiLvlLbl val="0"/>
      </c:catAx>
      <c:valAx>
        <c:axId val="34907623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076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assignment.xlsm]Road Accident Dashboard.!PivotTable6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Accidents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10555555555555556"/>
              <c:y val="-0.1435185185185186"/>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3"/>
          </a:solidFill>
          <a:ln w="19050">
            <a:solidFill>
              <a:schemeClr val="lt1"/>
            </a:solidFill>
          </a:ln>
          <a:effectLst/>
        </c:spPr>
        <c:dLbl>
          <c:idx val="0"/>
          <c:layout>
            <c:manualLayout>
              <c:x val="0.11666666666666667"/>
              <c:y val="-0.19444444444444453"/>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4"/>
          </a:solidFill>
          <a:ln w="19050">
            <a:solidFill>
              <a:schemeClr val="lt1"/>
            </a:solidFill>
          </a:ln>
          <a:effectLst/>
        </c:spPr>
        <c:dLbl>
          <c:idx val="0"/>
          <c:layout>
            <c:manualLayout>
              <c:x val="0.12777777777777777"/>
              <c:y val="0.1388888888888889"/>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0.1000000000000001"/>
              <c:y val="0.12500000000000006"/>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000000000000001"/>
              <c:y val="0.12500000000000006"/>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0555555555555556"/>
              <c:y val="-0.1435185185185186"/>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1666666666666667"/>
              <c:y val="-0.19444444444444453"/>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2777777777777777"/>
              <c:y val="0.1388888888888889"/>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000000000000001"/>
              <c:y val="0.12500000000000006"/>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10555555555555556"/>
              <c:y val="-0.1435185185185186"/>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1666666666666667"/>
              <c:y val="-0.19444444444444453"/>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2777777777777777"/>
              <c:y val="0.1388888888888889"/>
            </c:manualLayout>
          </c:layout>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'Road Accident Dashboard.'!$D$25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BC-431D-B491-3EA547705C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BC-431D-B491-3EA547705C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BC-431D-B491-3EA547705C5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BC-431D-B491-3EA547705C5A}"/>
              </c:ext>
            </c:extLst>
          </c:dPt>
          <c:dLbls>
            <c:dLbl>
              <c:idx val="0"/>
              <c:layout>
                <c:manualLayout>
                  <c:x val="-0.1000000000000001"/>
                  <c:y val="0.12500000000000006"/>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BC-431D-B491-3EA547705C5A}"/>
                </c:ext>
              </c:extLst>
            </c:dLbl>
            <c:dLbl>
              <c:idx val="1"/>
              <c:layout>
                <c:manualLayout>
                  <c:x val="-0.10555555555555556"/>
                  <c:y val="-0.1435185185185186"/>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BC-431D-B491-3EA547705C5A}"/>
                </c:ext>
              </c:extLst>
            </c:dLbl>
            <c:dLbl>
              <c:idx val="2"/>
              <c:layout>
                <c:manualLayout>
                  <c:x val="0.11666666666666667"/>
                  <c:y val="-0.1944444444444445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ABC-431D-B491-3EA547705C5A}"/>
                </c:ext>
              </c:extLst>
            </c:dLbl>
            <c:dLbl>
              <c:idx val="3"/>
              <c:layout>
                <c:manualLayout>
                  <c:x val="0.12777777777777777"/>
                  <c:y val="0.1388888888888889"/>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ABC-431D-B491-3EA547705C5A}"/>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bg2"/>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'Road Accident Dashboard.'!$C$26:$C$30</c:f>
              <c:strCache>
                <c:ptCount val="4"/>
                <c:pt idx="0">
                  <c:v>Fatal</c:v>
                </c:pt>
                <c:pt idx="1">
                  <c:v>Minor</c:v>
                </c:pt>
                <c:pt idx="2">
                  <c:v>Moderate</c:v>
                </c:pt>
                <c:pt idx="3">
                  <c:v>Severe</c:v>
                </c:pt>
              </c:strCache>
            </c:strRef>
          </c:cat>
          <c:val>
            <c:numRef>
              <c:f>'Road Accident Dashboard.'!$D$26:$D$30</c:f>
              <c:numCache>
                <c:formatCode>General</c:formatCode>
                <c:ptCount val="4"/>
                <c:pt idx="0">
                  <c:v>24</c:v>
                </c:pt>
                <c:pt idx="1">
                  <c:v>26</c:v>
                </c:pt>
                <c:pt idx="2">
                  <c:v>22</c:v>
                </c:pt>
                <c:pt idx="3">
                  <c:v>28</c:v>
                </c:pt>
              </c:numCache>
            </c:numRef>
          </c:val>
          <c:extLst>
            <c:ext xmlns:c16="http://schemas.microsoft.com/office/drawing/2014/chart" uri="{C3380CC4-5D6E-409C-BE32-E72D297353CC}">
              <c16:uniqueId val="{00000008-AABC-431D-B491-3EA547705C5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Accident By Road condition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dLblPos val="inEnd"/>
          <c:showLegendKey val="0"/>
          <c:showVal val="1"/>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LblPos val="inEnd"/>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LblPos val="inEnd"/>
          <c:showLegendKey val="0"/>
          <c:showVal val="1"/>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dLblPos val="inEnd"/>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LblPos val="inEnd"/>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1684512230088886"/>
              <c:y val="0.19407626130067074"/>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7821698758243454"/>
              <c:y val="-0.17075787401574813"/>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layout>
            <c:manualLayout>
              <c:x val="0.13860605659586661"/>
              <c:y val="0.18965988626421687"/>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8676415448068989"/>
                  <c:h val="7.7044327792359285E-2"/>
                </c:manualLayout>
              </c15:layout>
            </c:ext>
          </c:extLst>
        </c:dLbl>
      </c:pivotFmt>
    </c:pivotFmts>
    <c:plotArea>
      <c:layout/>
      <c:pieChart>
        <c:varyColors val="1"/>
        <c:ser>
          <c:idx val="0"/>
          <c:order val="0"/>
          <c:tx>
            <c:v>Total</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90-4AA4-8128-4D74370466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90-4AA4-8128-4D74370466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90-4AA4-8128-4D74370466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90-4AA4-8128-4D743704663E}"/>
              </c:ext>
            </c:extLst>
          </c:dPt>
          <c:dLbls>
            <c:dLbl>
              <c:idx val="0"/>
              <c:layout>
                <c:manualLayout>
                  <c:x val="-0.1684512230088886"/>
                  <c:y val="0.19407626130067074"/>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490-4AA4-8128-4D743704663E}"/>
                </c:ext>
              </c:extLst>
            </c:dLbl>
            <c:dLbl>
              <c:idx val="1"/>
              <c:layout>
                <c:manualLayout>
                  <c:x val="-0.17821698758243454"/>
                  <c:y val="-0.1707578740157481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490-4AA4-8128-4D743704663E}"/>
                </c:ext>
              </c:extLst>
            </c:dLbl>
            <c:dLbl>
              <c:idx val="3"/>
              <c:layout>
                <c:manualLayout>
                  <c:x val="0.13860605659586661"/>
                  <c:y val="0.18965988626421687"/>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18676415448068989"/>
                      <c:h val="7.7044327792359285E-2"/>
                    </c:manualLayout>
                  </c15:layout>
                </c:ext>
                <c:ext xmlns:c16="http://schemas.microsoft.com/office/drawing/2014/chart" uri="{C3380CC4-5D6E-409C-BE32-E72D297353CC}">
                  <c16:uniqueId val="{00000007-0490-4AA4-8128-4D743704663E}"/>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2"/>
                    </a:solidFill>
                    <a:latin typeface="+mn-lt"/>
                    <a:ea typeface="+mn-ea"/>
                    <a:cs typeface="+mn-cs"/>
                  </a:defRPr>
                </a:pPr>
                <a:endParaRPr lang="en-US"/>
              </a:p>
            </c:txPr>
            <c:dLblPos val="ct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4"/>
              <c:pt idx="0">
                <c:v>Damaged</c:v>
              </c:pt>
              <c:pt idx="1">
                <c:v>Dry</c:v>
              </c:pt>
              <c:pt idx="2">
                <c:v>Under Construction</c:v>
              </c:pt>
              <c:pt idx="3">
                <c:v>Wet</c:v>
              </c:pt>
            </c:strLit>
          </c:cat>
          <c:val>
            <c:numLit>
              <c:formatCode>General</c:formatCode>
              <c:ptCount val="4"/>
              <c:pt idx="0">
                <c:v>65</c:v>
              </c:pt>
              <c:pt idx="1">
                <c:v>46</c:v>
              </c:pt>
              <c:pt idx="2">
                <c:v>79</c:v>
              </c:pt>
              <c:pt idx="3">
                <c:v>62</c:v>
              </c:pt>
            </c:numLit>
          </c:val>
          <c:extLst>
            <c:ext xmlns:c16="http://schemas.microsoft.com/office/drawing/2014/chart" uri="{C3380CC4-5D6E-409C-BE32-E72D297353CC}">
              <c16:uniqueId val="{00000008-0490-4AA4-8128-4D743704663E}"/>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assignment.xlsm]Road Accident Dashboard.!PivotTable5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Casualties by Vehicle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'Road Accident Dashboard.'!$D$47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'Road Accident Dashboard.'!$C$48:$C$54</c:f>
              <c:strCache>
                <c:ptCount val="6"/>
                <c:pt idx="0">
                  <c:v>Auto-Rickshaw</c:v>
                </c:pt>
                <c:pt idx="1">
                  <c:v>Bicycle</c:v>
                </c:pt>
                <c:pt idx="2">
                  <c:v>Bus</c:v>
                </c:pt>
                <c:pt idx="3">
                  <c:v>Car</c:v>
                </c:pt>
                <c:pt idx="4">
                  <c:v>Motorcycle</c:v>
                </c:pt>
                <c:pt idx="5">
                  <c:v>Truck</c:v>
                </c:pt>
              </c:strCache>
            </c:strRef>
          </c:cat>
          <c:val>
            <c:numRef>
              <c:f>'Road Accident Dashboard.'!$D$48:$D$54</c:f>
              <c:numCache>
                <c:formatCode>General</c:formatCode>
                <c:ptCount val="6"/>
                <c:pt idx="0">
                  <c:v>36</c:v>
                </c:pt>
                <c:pt idx="1">
                  <c:v>38</c:v>
                </c:pt>
                <c:pt idx="2">
                  <c:v>34</c:v>
                </c:pt>
                <c:pt idx="3">
                  <c:v>50</c:v>
                </c:pt>
                <c:pt idx="4">
                  <c:v>57</c:v>
                </c:pt>
                <c:pt idx="5">
                  <c:v>37</c:v>
                </c:pt>
              </c:numCache>
            </c:numRef>
          </c:val>
          <c:extLst>
            <c:ext xmlns:c16="http://schemas.microsoft.com/office/drawing/2014/chart" uri="{C3380CC4-5D6E-409C-BE32-E72D297353CC}">
              <c16:uniqueId val="{00000000-9412-40A3-B532-0BC4A978B860}"/>
            </c:ext>
          </c:extLst>
        </c:ser>
        <c:dLbls>
          <c:dLblPos val="outEnd"/>
          <c:showLegendKey val="0"/>
          <c:showVal val="1"/>
          <c:showCatName val="0"/>
          <c:showSerName val="0"/>
          <c:showPercent val="0"/>
          <c:showBubbleSize val="0"/>
        </c:dLbls>
        <c:gapWidth val="182"/>
        <c:axId val="403029583"/>
        <c:axId val="403025263"/>
      </c:barChart>
      <c:catAx>
        <c:axId val="403029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25263"/>
        <c:crosses val="autoZero"/>
        <c:auto val="1"/>
        <c:lblAlgn val="ctr"/>
        <c:lblOffset val="100"/>
        <c:noMultiLvlLbl val="0"/>
      </c:catAx>
      <c:valAx>
        <c:axId val="403025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2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assignment.xlsm]Road Accident Dashboard.!PivotTable7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Accidents by Causel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80577427821521"/>
          <c:y val="0.24018299795858852"/>
          <c:w val="0.74233289588801399"/>
          <c:h val="0.50007327209098862"/>
        </c:manualLayout>
      </c:layout>
      <c:lineChart>
        <c:grouping val="standard"/>
        <c:varyColors val="0"/>
        <c:ser>
          <c:idx val="0"/>
          <c:order val="0"/>
          <c:tx>
            <c:strRef>
              <c:f>'Road Accident Dashboard.'!$D$65</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'Road Accident Dashboard.'!$C$66:$C$72</c:f>
              <c:strCache>
                <c:ptCount val="6"/>
                <c:pt idx="0">
                  <c:v>Brake Failure</c:v>
                </c:pt>
                <c:pt idx="1">
                  <c:v>Distracted Driving</c:v>
                </c:pt>
                <c:pt idx="2">
                  <c:v>Drunk Driving</c:v>
                </c:pt>
                <c:pt idx="3">
                  <c:v>Overtaking</c:v>
                </c:pt>
                <c:pt idx="4">
                  <c:v>Speeding</c:v>
                </c:pt>
                <c:pt idx="5">
                  <c:v>Weather</c:v>
                </c:pt>
              </c:strCache>
            </c:strRef>
          </c:cat>
          <c:val>
            <c:numRef>
              <c:f>'Road Accident Dashboard.'!$D$66:$D$72</c:f>
              <c:numCache>
                <c:formatCode>General</c:formatCode>
                <c:ptCount val="6"/>
                <c:pt idx="0">
                  <c:v>15</c:v>
                </c:pt>
                <c:pt idx="1">
                  <c:v>14</c:v>
                </c:pt>
                <c:pt idx="2">
                  <c:v>20</c:v>
                </c:pt>
                <c:pt idx="3">
                  <c:v>17</c:v>
                </c:pt>
                <c:pt idx="4">
                  <c:v>20</c:v>
                </c:pt>
                <c:pt idx="5">
                  <c:v>14</c:v>
                </c:pt>
              </c:numCache>
            </c:numRef>
          </c:val>
          <c:smooth val="0"/>
          <c:extLst>
            <c:ext xmlns:c16="http://schemas.microsoft.com/office/drawing/2014/chart" uri="{C3380CC4-5D6E-409C-BE32-E72D297353CC}">
              <c16:uniqueId val="{00000000-C550-4449-8691-8220E766A4D2}"/>
            </c:ext>
          </c:extLst>
        </c:ser>
        <c:dLbls>
          <c:dLblPos val="t"/>
          <c:showLegendKey val="0"/>
          <c:showVal val="1"/>
          <c:showCatName val="0"/>
          <c:showSerName val="0"/>
          <c:showPercent val="0"/>
          <c:showBubbleSize val="0"/>
        </c:dLbls>
        <c:smooth val="0"/>
        <c:axId val="403028623"/>
        <c:axId val="403026703"/>
      </c:lineChart>
      <c:catAx>
        <c:axId val="40302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26703"/>
        <c:crosses val="autoZero"/>
        <c:auto val="1"/>
        <c:lblAlgn val="ctr"/>
        <c:lblOffset val="100"/>
        <c:noMultiLvlLbl val="0"/>
      </c:catAx>
      <c:valAx>
        <c:axId val="4030267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28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assignment.xlsm]Road Accident Dashboard.!PivotTable8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Accident by Weather Condition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'Road Accident Dashboard.'!$D$85</c:f>
              <c:strCache>
                <c:ptCount val="1"/>
                <c:pt idx="0">
                  <c:v>Total</c:v>
                </c:pt>
              </c:strCache>
            </c:strRef>
          </c:tx>
          <c:spPr>
            <a:solidFill>
              <a:schemeClr val="accent1"/>
            </a:solidFill>
            <a:ln>
              <a:noFill/>
            </a:ln>
            <a:effectLst/>
            <a:sp3d/>
          </c:spPr>
          <c:invertIfNegative val="0"/>
          <c:cat>
            <c:strRef>
              <c:f>'Road Accident Dashboard.'!$C$86:$C$90</c:f>
              <c:strCache>
                <c:ptCount val="4"/>
                <c:pt idx="0">
                  <c:v>Clear</c:v>
                </c:pt>
                <c:pt idx="1">
                  <c:v>Foggy</c:v>
                </c:pt>
                <c:pt idx="2">
                  <c:v>Rainy</c:v>
                </c:pt>
                <c:pt idx="3">
                  <c:v>Windy</c:v>
                </c:pt>
              </c:strCache>
            </c:strRef>
          </c:cat>
          <c:val>
            <c:numRef>
              <c:f>'Road Accident Dashboard.'!$D$86:$D$90</c:f>
              <c:numCache>
                <c:formatCode>General</c:formatCode>
                <c:ptCount val="4"/>
                <c:pt idx="0">
                  <c:v>30</c:v>
                </c:pt>
                <c:pt idx="1">
                  <c:v>23</c:v>
                </c:pt>
                <c:pt idx="2">
                  <c:v>22</c:v>
                </c:pt>
                <c:pt idx="3">
                  <c:v>25</c:v>
                </c:pt>
              </c:numCache>
            </c:numRef>
          </c:val>
          <c:extLst>
            <c:ext xmlns:c16="http://schemas.microsoft.com/office/drawing/2014/chart" uri="{C3380CC4-5D6E-409C-BE32-E72D297353CC}">
              <c16:uniqueId val="{00000000-D119-45FC-9E09-9801A6A3BE27}"/>
            </c:ext>
          </c:extLst>
        </c:ser>
        <c:dLbls>
          <c:showLegendKey val="0"/>
          <c:showVal val="0"/>
          <c:showCatName val="0"/>
          <c:showSerName val="0"/>
          <c:showPercent val="0"/>
          <c:showBubbleSize val="0"/>
        </c:dLbls>
        <c:gapWidth val="150"/>
        <c:shape val="box"/>
        <c:axId val="403032463"/>
        <c:axId val="403016143"/>
        <c:axId val="0"/>
      </c:bar3DChart>
      <c:catAx>
        <c:axId val="4030324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16143"/>
        <c:crosses val="autoZero"/>
        <c:auto val="1"/>
        <c:lblAlgn val="ctr"/>
        <c:lblOffset val="100"/>
        <c:noMultiLvlLbl val="0"/>
      </c:catAx>
      <c:valAx>
        <c:axId val="40301614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032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380999</xdr:colOff>
      <xdr:row>1</xdr:row>
      <xdr:rowOff>76199</xdr:rowOff>
    </xdr:from>
    <xdr:to>
      <xdr:col>16</xdr:col>
      <xdr:colOff>76200</xdr:colOff>
      <xdr:row>22</xdr:row>
      <xdr:rowOff>95249</xdr:rowOff>
    </xdr:to>
    <xdr:graphicFrame macro="">
      <xdr:nvGraphicFramePr>
        <xdr:cNvPr id="2" name="Chart 1">
          <a:extLst>
            <a:ext uri="{FF2B5EF4-FFF2-40B4-BE49-F238E27FC236}">
              <a16:creationId xmlns:a16="http://schemas.microsoft.com/office/drawing/2014/main" id="{B1D1BDA7-8EAA-4957-A796-838A635B17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400050</xdr:colOff>
      <xdr:row>23</xdr:row>
      <xdr:rowOff>0</xdr:rowOff>
    </xdr:from>
    <xdr:to>
      <xdr:col>16</xdr:col>
      <xdr:colOff>66675</xdr:colOff>
      <xdr:row>43</xdr:row>
      <xdr:rowOff>66675</xdr:rowOff>
    </xdr:to>
    <xdr:graphicFrame macro="">
      <xdr:nvGraphicFramePr>
        <xdr:cNvPr id="3" name="Chart 2">
          <a:extLst>
            <a:ext uri="{FF2B5EF4-FFF2-40B4-BE49-F238E27FC236}">
              <a16:creationId xmlns:a16="http://schemas.microsoft.com/office/drawing/2014/main" id="{18F7498D-922D-4B80-BA89-AA23AF5661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400050</xdr:colOff>
      <xdr:row>99</xdr:row>
      <xdr:rowOff>66675</xdr:rowOff>
    </xdr:from>
    <xdr:to>
      <xdr:col>16</xdr:col>
      <xdr:colOff>57150</xdr:colOff>
      <xdr:row>116</xdr:row>
      <xdr:rowOff>57150</xdr:rowOff>
    </xdr:to>
    <xdr:graphicFrame macro="">
      <xdr:nvGraphicFramePr>
        <xdr:cNvPr id="4" name="Chart 3">
          <a:extLst>
            <a:ext uri="{FF2B5EF4-FFF2-40B4-BE49-F238E27FC236}">
              <a16:creationId xmlns:a16="http://schemas.microsoft.com/office/drawing/2014/main" id="{DCB7FECF-DEFD-49EB-B7C1-9EF5B48D0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361950</xdr:colOff>
      <xdr:row>44</xdr:row>
      <xdr:rowOff>66675</xdr:rowOff>
    </xdr:from>
    <xdr:to>
      <xdr:col>16</xdr:col>
      <xdr:colOff>57150</xdr:colOff>
      <xdr:row>61</xdr:row>
      <xdr:rowOff>57150</xdr:rowOff>
    </xdr:to>
    <xdr:graphicFrame macro="">
      <xdr:nvGraphicFramePr>
        <xdr:cNvPr id="5" name="Chart 4">
          <a:extLst>
            <a:ext uri="{FF2B5EF4-FFF2-40B4-BE49-F238E27FC236}">
              <a16:creationId xmlns:a16="http://schemas.microsoft.com/office/drawing/2014/main" id="{09814A25-F65D-4161-ABBE-9958602250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62</xdr:row>
      <xdr:rowOff>66675</xdr:rowOff>
    </xdr:from>
    <xdr:to>
      <xdr:col>16</xdr:col>
      <xdr:colOff>66675</xdr:colOff>
      <xdr:row>79</xdr:row>
      <xdr:rowOff>57150</xdr:rowOff>
    </xdr:to>
    <xdr:graphicFrame macro="">
      <xdr:nvGraphicFramePr>
        <xdr:cNvPr id="6" name="Chart 5">
          <a:extLst>
            <a:ext uri="{FF2B5EF4-FFF2-40B4-BE49-F238E27FC236}">
              <a16:creationId xmlns:a16="http://schemas.microsoft.com/office/drawing/2014/main" id="{79AD1E5B-BD24-4414-A140-3E1F900631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361950</xdr:colOff>
      <xdr:row>81</xdr:row>
      <xdr:rowOff>19050</xdr:rowOff>
    </xdr:from>
    <xdr:to>
      <xdr:col>16</xdr:col>
      <xdr:colOff>57150</xdr:colOff>
      <xdr:row>98</xdr:row>
      <xdr:rowOff>9525</xdr:rowOff>
    </xdr:to>
    <xdr:graphicFrame macro="">
      <xdr:nvGraphicFramePr>
        <xdr:cNvPr id="7" name="Chart 6">
          <a:extLst>
            <a:ext uri="{FF2B5EF4-FFF2-40B4-BE49-F238E27FC236}">
              <a16:creationId xmlns:a16="http://schemas.microsoft.com/office/drawing/2014/main" id="{90113C3C-4587-44A1-9F5A-92E5774FA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142875</xdr:colOff>
      <xdr:row>22</xdr:row>
      <xdr:rowOff>95250</xdr:rowOff>
    </xdr:from>
    <xdr:to>
      <xdr:col>8</xdr:col>
      <xdr:colOff>142875</xdr:colOff>
      <xdr:row>37</xdr:row>
      <xdr:rowOff>47625</xdr:rowOff>
    </xdr:to>
    <mc:AlternateContent xmlns:mc="http://schemas.openxmlformats.org/markup-compatibility/2006" xmlns:a14="http://schemas.microsoft.com/office/drawing/2010/main">
      <mc:Choice Requires="a14">
        <xdr:graphicFrame macro="">
          <xdr:nvGraphicFramePr>
            <xdr:cNvPr id="14" name="Severity">
              <a:extLst>
                <a:ext uri="{FF2B5EF4-FFF2-40B4-BE49-F238E27FC236}">
                  <a16:creationId xmlns:a16="http://schemas.microsoft.com/office/drawing/2014/main" id="{7783789D-31CE-AA0E-AE6F-6397F75D3CE0}"/>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4526061" y="3812529"/>
              <a:ext cx="1820708" cy="2354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66675</xdr:colOff>
      <xdr:row>44</xdr:row>
      <xdr:rowOff>152400</xdr:rowOff>
    </xdr:from>
    <xdr:to>
      <xdr:col>8</xdr:col>
      <xdr:colOff>66675</xdr:colOff>
      <xdr:row>59</xdr:row>
      <xdr:rowOff>104775</xdr:rowOff>
    </xdr:to>
    <mc:AlternateContent xmlns:mc="http://schemas.openxmlformats.org/markup-compatibility/2006" xmlns:a14="http://schemas.microsoft.com/office/drawing/2010/main">
      <mc:Choice Requires="a14">
        <xdr:graphicFrame macro="">
          <xdr:nvGraphicFramePr>
            <xdr:cNvPr id="15" name="Vehicle Type">
              <a:extLst>
                <a:ext uri="{FF2B5EF4-FFF2-40B4-BE49-F238E27FC236}">
                  <a16:creationId xmlns:a16="http://schemas.microsoft.com/office/drawing/2014/main" id="{4C90867D-8ED8-B6EE-1331-ED37F7E7BEE6}"/>
                </a:ext>
              </a:extLst>
            </xdr:cNvPr>
            <xdr:cNvGraphicFramePr/>
          </xdr:nvGraphicFramePr>
          <xdr:xfrm>
            <a:off x="0" y="0"/>
            <a:ext cx="0" cy="0"/>
          </xdr:xfrm>
          <a:graphic>
            <a:graphicData uri="http://schemas.microsoft.com/office/drawing/2010/slicer">
              <sle:slicer xmlns:sle="http://schemas.microsoft.com/office/drawing/2010/slicer" name="Vehicle Type"/>
            </a:graphicData>
          </a:graphic>
        </xdr:graphicFrame>
      </mc:Choice>
      <mc:Fallback xmlns="">
        <xdr:sp macro="" textlink="">
          <xdr:nvSpPr>
            <xdr:cNvPr id="0" name=""/>
            <xdr:cNvSpPr>
              <a:spLocks noTextEdit="1"/>
            </xdr:cNvSpPr>
          </xdr:nvSpPr>
          <xdr:spPr>
            <a:xfrm>
              <a:off x="4449861" y="7393086"/>
              <a:ext cx="1820708" cy="2354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66675</xdr:colOff>
      <xdr:row>5</xdr:row>
      <xdr:rowOff>104775</xdr:rowOff>
    </xdr:from>
    <xdr:to>
      <xdr:col>8</xdr:col>
      <xdr:colOff>66675</xdr:colOff>
      <xdr:row>20</xdr:row>
      <xdr:rowOff>57150</xdr:rowOff>
    </xdr:to>
    <mc:AlternateContent xmlns:mc="http://schemas.openxmlformats.org/markup-compatibility/2006" xmlns:a14="http://schemas.microsoft.com/office/drawing/2010/main">
      <mc:Choice Requires="a14">
        <xdr:graphicFrame macro="">
          <xdr:nvGraphicFramePr>
            <xdr:cNvPr id="16" name="Location">
              <a:extLst>
                <a:ext uri="{FF2B5EF4-FFF2-40B4-BE49-F238E27FC236}">
                  <a16:creationId xmlns:a16="http://schemas.microsoft.com/office/drawing/2014/main" id="{7DBA3214-43B6-D99D-0A81-6B3EDC8DF816}"/>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4449861" y="1099421"/>
              <a:ext cx="1820708" cy="2354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561975</xdr:colOff>
      <xdr:row>100</xdr:row>
      <xdr:rowOff>38100</xdr:rowOff>
    </xdr:from>
    <xdr:to>
      <xdr:col>7</xdr:col>
      <xdr:colOff>561975</xdr:colOff>
      <xdr:row>115</xdr:row>
      <xdr:rowOff>5861</xdr:rowOff>
    </xdr:to>
    <mc:AlternateContent xmlns:mc="http://schemas.openxmlformats.org/markup-compatibility/2006" xmlns:a14="http://schemas.microsoft.com/office/drawing/2010/main">
      <mc:Choice Requires="a14">
        <xdr:graphicFrame macro="">
          <xdr:nvGraphicFramePr>
            <xdr:cNvPr id="17" name="Road Condition">
              <a:extLst>
                <a:ext uri="{FF2B5EF4-FFF2-40B4-BE49-F238E27FC236}">
                  <a16:creationId xmlns:a16="http://schemas.microsoft.com/office/drawing/2014/main" id="{26E1D3C1-39C9-DA9E-9998-3432A5959038}"/>
                </a:ext>
              </a:extLst>
            </xdr:cNvPr>
            <xdr:cNvGraphicFramePr/>
          </xdr:nvGraphicFramePr>
          <xdr:xfrm>
            <a:off x="0" y="0"/>
            <a:ext cx="0" cy="0"/>
          </xdr:xfrm>
          <a:graphic>
            <a:graphicData uri="http://schemas.microsoft.com/office/drawing/2010/slicer">
              <sle:slicer xmlns:sle="http://schemas.microsoft.com/office/drawing/2010/slicer" name="Road Condition"/>
            </a:graphicData>
          </a:graphic>
        </xdr:graphicFrame>
      </mc:Choice>
      <mc:Fallback xmlns="">
        <xdr:sp macro="" textlink="">
          <xdr:nvSpPr>
            <xdr:cNvPr id="0" name=""/>
            <xdr:cNvSpPr>
              <a:spLocks noTextEdit="1"/>
            </xdr:cNvSpPr>
          </xdr:nvSpPr>
          <xdr:spPr>
            <a:xfrm>
              <a:off x="4338258" y="16247458"/>
              <a:ext cx="1820708" cy="23700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62</xdr:row>
      <xdr:rowOff>142875</xdr:rowOff>
    </xdr:from>
    <xdr:to>
      <xdr:col>7</xdr:col>
      <xdr:colOff>600075</xdr:colOff>
      <xdr:row>77</xdr:row>
      <xdr:rowOff>95250</xdr:rowOff>
    </xdr:to>
    <mc:AlternateContent xmlns:mc="http://schemas.openxmlformats.org/markup-compatibility/2006" xmlns:a14="http://schemas.microsoft.com/office/drawing/2010/main">
      <mc:Choice Requires="a14">
        <xdr:graphicFrame macro="">
          <xdr:nvGraphicFramePr>
            <xdr:cNvPr id="18" name="Cause">
              <a:extLst>
                <a:ext uri="{FF2B5EF4-FFF2-40B4-BE49-F238E27FC236}">
                  <a16:creationId xmlns:a16="http://schemas.microsoft.com/office/drawing/2014/main" id="{DA160530-AE1C-5FAD-17F8-D2A8298F8648}"/>
                </a:ext>
              </a:extLst>
            </xdr:cNvPr>
            <xdr:cNvGraphicFramePr/>
          </xdr:nvGraphicFramePr>
          <xdr:xfrm>
            <a:off x="0" y="0"/>
            <a:ext cx="0" cy="0"/>
          </xdr:xfrm>
          <a:graphic>
            <a:graphicData uri="http://schemas.microsoft.com/office/drawing/2010/slicer">
              <sle:slicer xmlns:sle="http://schemas.microsoft.com/office/drawing/2010/slicer" name="Cause"/>
            </a:graphicData>
          </a:graphic>
        </xdr:graphicFrame>
      </mc:Choice>
      <mc:Fallback xmlns="">
        <xdr:sp macro="" textlink="">
          <xdr:nvSpPr>
            <xdr:cNvPr id="0" name=""/>
            <xdr:cNvSpPr>
              <a:spLocks noTextEdit="1"/>
            </xdr:cNvSpPr>
          </xdr:nvSpPr>
          <xdr:spPr>
            <a:xfrm>
              <a:off x="4376358" y="10266348"/>
              <a:ext cx="1820708" cy="2354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114300</xdr:colOff>
      <xdr:row>81</xdr:row>
      <xdr:rowOff>85725</xdr:rowOff>
    </xdr:from>
    <xdr:to>
      <xdr:col>8</xdr:col>
      <xdr:colOff>114300</xdr:colOff>
      <xdr:row>96</xdr:row>
      <xdr:rowOff>38100</xdr:rowOff>
    </xdr:to>
    <mc:AlternateContent xmlns:mc="http://schemas.openxmlformats.org/markup-compatibility/2006" xmlns:a14="http://schemas.microsoft.com/office/drawing/2010/main">
      <mc:Choice Requires="a14">
        <xdr:graphicFrame macro="">
          <xdr:nvGraphicFramePr>
            <xdr:cNvPr id="19" name="Weather Condition">
              <a:extLst>
                <a:ext uri="{FF2B5EF4-FFF2-40B4-BE49-F238E27FC236}">
                  <a16:creationId xmlns:a16="http://schemas.microsoft.com/office/drawing/2014/main" id="{BA324376-7ADF-E496-1583-68C6321FAFF5}"/>
                </a:ext>
              </a:extLst>
            </xdr:cNvPr>
            <xdr:cNvGraphicFramePr/>
          </xdr:nvGraphicFramePr>
          <xdr:xfrm>
            <a:off x="0" y="0"/>
            <a:ext cx="0" cy="0"/>
          </xdr:xfrm>
          <a:graphic>
            <a:graphicData uri="http://schemas.microsoft.com/office/drawing/2010/slicer">
              <sle:slicer xmlns:sle="http://schemas.microsoft.com/office/drawing/2010/slicer" name="Weather Condition"/>
            </a:graphicData>
          </a:graphic>
        </xdr:graphicFrame>
      </mc:Choice>
      <mc:Fallback xmlns="">
        <xdr:sp macro="" textlink="">
          <xdr:nvSpPr>
            <xdr:cNvPr id="0" name=""/>
            <xdr:cNvSpPr>
              <a:spLocks noTextEdit="1"/>
            </xdr:cNvSpPr>
          </xdr:nvSpPr>
          <xdr:spPr>
            <a:xfrm>
              <a:off x="4497486" y="13252141"/>
              <a:ext cx="1820708" cy="23546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91584374999" backgroundQuery="1" createdVersion="8" refreshedVersion="8" minRefreshableVersion="3" recordCount="0" supportSubquery="1" supportAdvancedDrill="1" xr:uid="{0E9F44DE-E1F2-4BA3-8D0B-81BE4BBFE341}">
  <cacheSource type="external" connectionId="2"/>
  <cacheFields count="3">
    <cacheField name="[Table2].[Severity].[Severity]" caption="Severity" numFmtId="0" hierarchy="20" level="1">
      <sharedItems count="4">
        <s v="Fatal"/>
        <s v="Minor"/>
        <s v="Moderate"/>
        <s v="Severe"/>
      </sharedItems>
    </cacheField>
    <cacheField name="[Measures].[Count of Accident ID]" caption="Count of Accident ID" numFmtId="0" hierarchy="28" level="32767"/>
    <cacheField name="[Table2].[Vehicle Type].[Vehicle Type]" caption="Vehicle Type" numFmtId="0" hierarchy="17" level="1">
      <sharedItems containsSemiMixedTypes="0" containsNonDate="0" containsString="0"/>
    </cacheField>
  </cacheFields>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0" memberValueDatatype="130" unbalanced="0"/>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2" memberValueDatatype="130" unbalanced="0">
      <fieldsUsage count="2">
        <fieldUsage x="-1"/>
        <fieldUsage x="2"/>
      </fieldsUsage>
    </cacheHierarchy>
    <cacheHierarchy uniqueName="[Table2].[Weather Condition]" caption="Weather Condition" attribute="1" defaultMemberUniqueName="[Table2].[Weather Condition].[All]" allUniqueName="[Table2].[Weather Condition].[All]" dimensionUniqueName="[Table2]" displayFolder="" count="0" memberValueDatatype="130" unbalanced="0"/>
    <cacheHierarchy uniqueName="[Table2].[Road Condition]" caption="Road Condition" attribute="1" defaultMemberUniqueName="[Table2].[Road Condition].[All]" allUniqueName="[Table2].[Road Condition].[All]" dimensionUniqueName="[Table2]" displayFolder="" count="0" memberValueDatatype="130" unbalanced="0"/>
    <cacheHierarchy uniqueName="[Table2].[Severity]" caption="Severity" attribute="1" defaultMemberUniqueName="[Table2].[Severity].[All]" allUniqueName="[Table2].[Severity].[All]" dimensionUniqueName="[Table2]" displayFolder="" count="2" memberValueDatatype="130" unbalanced="0">
      <fieldsUsage count="2">
        <fieldUsage x="-1"/>
        <fieldUsage x="0"/>
      </fieldsUsage>
    </cacheHierarchy>
    <cacheHierarchy uniqueName="[Table2].[Cause]" caption="Cause" attribute="1" defaultMemberUniqueName="[Table2].[Cause].[All]" allUniqueName="[Table2].[Cause].[All]" dimensionUniqueName="[Table2]" displayFolder="" count="0" memberValueDatatype="130" unbalanced="0"/>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91583564813" backgroundQuery="1" createdVersion="8" refreshedVersion="8" minRefreshableVersion="3" recordCount="0" supportSubquery="1" supportAdvancedDrill="1" xr:uid="{B1124B04-7F9A-4DDB-A062-0C8FEF625278}">
  <cacheSource type="external" connectionId="2"/>
  <cacheFields count="3">
    <cacheField name="[Table2].[Location].[Location]" caption="Location" numFmtId="0" hierarchy="15" level="1">
      <sharedItems count="8">
        <s v="Ahmedabad"/>
        <s v="Bangalore"/>
        <s v="Chennai"/>
        <s v="Delhi"/>
        <s v="Hyderabad"/>
        <s v="Kolkata"/>
        <s v="Mumbai"/>
        <s v="Pune"/>
      </sharedItems>
    </cacheField>
    <cacheField name="[Measures].[Count of Accident ID]" caption="Count of Accident ID" numFmtId="0" hierarchy="28" level="32767"/>
    <cacheField name="[Table2].[Vehicle Type].[Vehicle Type]" caption="Vehicle Type" numFmtId="0" hierarchy="17" level="1">
      <sharedItems containsSemiMixedTypes="0" containsNonDate="0" containsString="0"/>
    </cacheField>
  </cacheFields>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2" memberValueDatatype="130" unbalanced="0">
      <fieldsUsage count="2">
        <fieldUsage x="-1"/>
        <fieldUsage x="0"/>
      </fieldsUsage>
    </cacheHierarchy>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2" memberValueDatatype="130" unbalanced="0">
      <fieldsUsage count="2">
        <fieldUsage x="-1"/>
        <fieldUsage x="2"/>
      </fieldsUsage>
    </cacheHierarchy>
    <cacheHierarchy uniqueName="[Table2].[Weather Condition]" caption="Weather Condition" attribute="1" defaultMemberUniqueName="[Table2].[Weather Condition].[All]" allUniqueName="[Table2].[Weather Condition].[All]" dimensionUniqueName="[Table2]" displayFolder="" count="0" memberValueDatatype="130" unbalanced="0"/>
    <cacheHierarchy uniqueName="[Table2].[Road Condition]" caption="Road Condition" attribute="1" defaultMemberUniqueName="[Table2].[Road Condition].[All]" allUniqueName="[Table2].[Road Condition].[All]" dimensionUniqueName="[Table2]" displayFolder="" count="0" memberValueDatatype="130" unbalanced="0"/>
    <cacheHierarchy uniqueName="[Table2].[Severity]" caption="Severity" attribute="1" defaultMemberUniqueName="[Table2].[Severity].[All]" allUniqueName="[Table2].[Severity].[All]" dimensionUniqueName="[Table2]" displayFolder="" count="0" memberValueDatatype="130" unbalanced="0"/>
    <cacheHierarchy uniqueName="[Table2].[Cause]" caption="Cause" attribute="1" defaultMemberUniqueName="[Table2].[Cause].[All]" allUniqueName="[Table2].[Cause].[All]" dimensionUniqueName="[Table2]" displayFolder="" count="0" memberValueDatatype="130" unbalanced="0"/>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91583101852" backgroundQuery="1" createdVersion="8" refreshedVersion="8" minRefreshableVersion="3" recordCount="0" supportSubquery="1" supportAdvancedDrill="1" xr:uid="{735E5EBC-E57E-4E2E-8D52-6F877F5088B8}">
  <cacheSource type="external" connectionId="2"/>
  <cacheFields count="3">
    <cacheField name="[Table2].[Road Condition].[Road Condition]" caption="Road Condition" numFmtId="0" hierarchy="19" level="1">
      <sharedItems count="4">
        <s v="Damaged"/>
        <s v="Dry"/>
        <s v="Under Construction"/>
        <s v="Wet"/>
      </sharedItems>
    </cacheField>
    <cacheField name="[Measures].[Sum of Casualties]" caption="Sum of Casualties" numFmtId="0" hierarchy="29" level="32767"/>
    <cacheField name="[Table2].[Vehicle Type].[Vehicle Type]" caption="Vehicle Type" numFmtId="0" hierarchy="17" level="1">
      <sharedItems containsSemiMixedTypes="0" containsNonDate="0" containsString="0"/>
    </cacheField>
  </cacheFields>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0" memberValueDatatype="130" unbalanced="0"/>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2" memberValueDatatype="130" unbalanced="0">
      <fieldsUsage count="2">
        <fieldUsage x="-1"/>
        <fieldUsage x="2"/>
      </fieldsUsage>
    </cacheHierarchy>
    <cacheHierarchy uniqueName="[Table2].[Weather Condition]" caption="Weather Condition" attribute="1" defaultMemberUniqueName="[Table2].[Weather Condition].[All]" allUniqueName="[Table2].[Weather Condition].[All]" dimensionUniqueName="[Table2]" displayFolder="" count="0" memberValueDatatype="130" unbalanced="0"/>
    <cacheHierarchy uniqueName="[Table2].[Road Condition]" caption="Road Condition" attribute="1" defaultMemberUniqueName="[Table2].[Road Condition].[All]" allUniqueName="[Table2].[Road Condition].[All]" dimensionUniqueName="[Table2]" displayFolder="" count="2" memberValueDatatype="130" unbalanced="0">
      <fieldsUsage count="2">
        <fieldUsage x="-1"/>
        <fieldUsage x="0"/>
      </fieldsUsage>
    </cacheHierarchy>
    <cacheHierarchy uniqueName="[Table2].[Severity]" caption="Severity" attribute="1" defaultMemberUniqueName="[Table2].[Severity].[All]" allUniqueName="[Table2].[Severity].[All]" dimensionUniqueName="[Table2]" displayFolder="" count="0" memberValueDatatype="130" unbalanced="0"/>
    <cacheHierarchy uniqueName="[Table2].[Cause]" caption="Cause" attribute="1" defaultMemberUniqueName="[Table2].[Cause].[All]" allUniqueName="[Table2].[Cause].[All]" dimensionUniqueName="[Table2]" displayFolder="" count="0" memberValueDatatype="130" unbalanced="0"/>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hidden="1">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oneField="1" hidden="1">
      <fieldsUsage count="1">
        <fieldUsage x="1"/>
      </fieldsUsage>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91585416668" backgroundQuery="1" createdVersion="8" refreshedVersion="8" minRefreshableVersion="3" recordCount="0" supportSubquery="1" supportAdvancedDrill="1" xr:uid="{1DDB8361-C184-4888-B490-AEE2A389B4E9}">
  <cacheSource type="external" connectionId="2"/>
  <cacheFields count="3">
    <cacheField name="[Table2].[Weather Condition].[Weather Condition]" caption="Weather Condition" numFmtId="0" hierarchy="18" level="1">
      <sharedItems count="4">
        <s v="Clear"/>
        <s v="Foggy"/>
        <s v="Rainy"/>
        <s v="Windy"/>
      </sharedItems>
    </cacheField>
    <cacheField name="[Measures].[Count of Accident ID]" caption="Count of Accident ID" numFmtId="0" hierarchy="28" level="32767"/>
    <cacheField name="[Table2].[Vehicle Type].[Vehicle Type]" caption="Vehicle Type" numFmtId="0" hierarchy="17" level="1">
      <sharedItems containsSemiMixedTypes="0" containsNonDate="0" containsString="0"/>
    </cacheField>
  </cacheFields>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0" memberValueDatatype="130" unbalanced="0"/>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2" memberValueDatatype="130" unbalanced="0">
      <fieldsUsage count="2">
        <fieldUsage x="-1"/>
        <fieldUsage x="2"/>
      </fieldsUsage>
    </cacheHierarchy>
    <cacheHierarchy uniqueName="[Table2].[Weather Condition]" caption="Weather Condition" attribute="1" defaultMemberUniqueName="[Table2].[Weather Condition].[All]" allUniqueName="[Table2].[Weather Condition].[All]" dimensionUniqueName="[Table2]" displayFolder="" count="2" memberValueDatatype="130" unbalanced="0">
      <fieldsUsage count="2">
        <fieldUsage x="-1"/>
        <fieldUsage x="0"/>
      </fieldsUsage>
    </cacheHierarchy>
    <cacheHierarchy uniqueName="[Table2].[Road Condition]" caption="Road Condition" attribute="1" defaultMemberUniqueName="[Table2].[Road Condition].[All]" allUniqueName="[Table2].[Road Condition].[All]" dimensionUniqueName="[Table2]" displayFolder="" count="0" memberValueDatatype="130" unbalanced="0"/>
    <cacheHierarchy uniqueName="[Table2].[Severity]" caption="Severity" attribute="1" defaultMemberUniqueName="[Table2].[Severity].[All]" allUniqueName="[Table2].[Severity].[All]" dimensionUniqueName="[Table2]" displayFolder="" count="0" memberValueDatatype="130" unbalanced="0"/>
    <cacheHierarchy uniqueName="[Table2].[Cause]" caption="Cause" attribute="1" defaultMemberUniqueName="[Table2].[Cause].[All]" allUniqueName="[Table2].[Cause].[All]" dimensionUniqueName="[Table2]" displayFolder="" count="0" memberValueDatatype="130" unbalanced="0"/>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91584837961" backgroundQuery="1" createdVersion="8" refreshedVersion="8" minRefreshableVersion="3" recordCount="0" supportSubquery="1" supportAdvancedDrill="1" xr:uid="{04361A37-BD43-41D0-B7F0-F812B1736C4E}">
  <cacheSource type="external" connectionId="2"/>
  <cacheFields count="3">
    <cacheField name="[Table2].[Cause].[Cause]" caption="Cause" numFmtId="0" hierarchy="21" level="1">
      <sharedItems count="6">
        <s v="Brake Failure"/>
        <s v="Distracted Driving"/>
        <s v="Drunk Driving"/>
        <s v="Overtaking"/>
        <s v="Speeding"/>
        <s v="Weather"/>
      </sharedItems>
    </cacheField>
    <cacheField name="[Measures].[Count of Accident ID]" caption="Count of Accident ID" numFmtId="0" hierarchy="28" level="32767"/>
    <cacheField name="[Table2].[Vehicle Type].[Vehicle Type]" caption="Vehicle Type" numFmtId="0" hierarchy="17" level="1">
      <sharedItems containsSemiMixedTypes="0" containsNonDate="0" containsString="0"/>
    </cacheField>
  </cacheFields>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0" memberValueDatatype="130" unbalanced="0"/>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2" memberValueDatatype="130" unbalanced="0">
      <fieldsUsage count="2">
        <fieldUsage x="-1"/>
        <fieldUsage x="2"/>
      </fieldsUsage>
    </cacheHierarchy>
    <cacheHierarchy uniqueName="[Table2].[Weather Condition]" caption="Weather Condition" attribute="1" defaultMemberUniqueName="[Table2].[Weather Condition].[All]" allUniqueName="[Table2].[Weather Condition].[All]" dimensionUniqueName="[Table2]" displayFolder="" count="0" memberValueDatatype="130" unbalanced="0"/>
    <cacheHierarchy uniqueName="[Table2].[Road Condition]" caption="Road Condition" attribute="1" defaultMemberUniqueName="[Table2].[Road Condition].[All]" allUniqueName="[Table2].[Road Condition].[All]" dimensionUniqueName="[Table2]" displayFolder="" count="0" memberValueDatatype="130" unbalanced="0"/>
    <cacheHierarchy uniqueName="[Table2].[Severity]" caption="Severity" attribute="1" defaultMemberUniqueName="[Table2].[Severity].[All]" allUniqueName="[Table2].[Severity].[All]" dimensionUniqueName="[Table2]" displayFolder="" count="0" memberValueDatatype="130" unbalanced="0"/>
    <cacheHierarchy uniqueName="[Table2].[Cause]" caption="Cause" attribute="1" defaultMemberUniqueName="[Table2].[Cause].[All]" allUniqueName="[Table2].[Cause].[All]" dimensionUniqueName="[Table2]" displayFolder="" count="2" memberValueDatatype="130" unbalanced="0">
      <fieldsUsage count="2">
        <fieldUsage x="-1"/>
        <fieldUsage x="0"/>
      </fieldsUsage>
    </cacheHierarchy>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91583912037" backgroundQuery="1" createdVersion="8" refreshedVersion="8" minRefreshableVersion="3" recordCount="0" supportSubquery="1" supportAdvancedDrill="1" xr:uid="{C9ECBA77-7CD7-4937-80ED-D8EB6D31844F}">
  <cacheSource type="external" connectionId="2"/>
  <cacheFields count="2">
    <cacheField name="[Table2].[Vehicle Type].[Vehicle Type]" caption="Vehicle Type" numFmtId="0" hierarchy="17" level="1">
      <sharedItems count="6">
        <s v="Auto-Rickshaw"/>
        <s v="Bicycle"/>
        <s v="Bus"/>
        <s v="Car"/>
        <s v="Motorcycle"/>
        <s v="Truck"/>
      </sharedItems>
    </cacheField>
    <cacheField name="[Measures].[Sum of Casualties]" caption="Sum of Casualties" numFmtId="0" hierarchy="29" level="32767"/>
  </cacheFields>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0" memberValueDatatype="130" unbalanced="0"/>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2" memberValueDatatype="130" unbalanced="0">
      <fieldsUsage count="2">
        <fieldUsage x="-1"/>
        <fieldUsage x="0"/>
      </fieldsUsage>
    </cacheHierarchy>
    <cacheHierarchy uniqueName="[Table2].[Weather Condition]" caption="Weather Condition" attribute="1" defaultMemberUniqueName="[Table2].[Weather Condition].[All]" allUniqueName="[Table2].[Weather Condition].[All]" dimensionUniqueName="[Table2]" displayFolder="" count="0" memberValueDatatype="130" unbalanced="0"/>
    <cacheHierarchy uniqueName="[Table2].[Road Condition]" caption="Road Condition" attribute="1" defaultMemberUniqueName="[Table2].[Road Condition].[All]" allUniqueName="[Table2].[Road Condition].[All]" dimensionUniqueName="[Table2]" displayFolder="" count="0" memberValueDatatype="130" unbalanced="0"/>
    <cacheHierarchy uniqueName="[Table2].[Severity]" caption="Severity" attribute="1" defaultMemberUniqueName="[Table2].[Severity].[All]" allUniqueName="[Table2].[Severity].[All]" dimensionUniqueName="[Table2]" displayFolder="" count="0" memberValueDatatype="130" unbalanced="0"/>
    <cacheHierarchy uniqueName="[Table2].[Cause]" caption="Cause" attribute="1" defaultMemberUniqueName="[Table2].[Cause].[All]" allUniqueName="[Table2].[Cause].[All]" dimensionUniqueName="[Table2]" displayFolder="" count="0" memberValueDatatype="130" unbalanced="0"/>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hidden="1">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oneField="1" hidden="1">
      <fieldsUsage count="1">
        <fieldUsage x="1"/>
      </fieldsUsage>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oonam Mishra" refreshedDate="46028.98675960648" backgroundQuery="1" createdVersion="3" refreshedVersion="8" minRefreshableVersion="3" recordCount="0" supportSubquery="1" supportAdvancedDrill="1" xr:uid="{0C982FFF-502F-4450-B58B-E9CBE490CC80}">
  <cacheSource type="external" connectionId="2">
    <extLst>
      <ext xmlns:x14="http://schemas.microsoft.com/office/spreadsheetml/2009/9/main" uri="{F057638F-6D5F-4e77-A914-E7F072B9BCA8}">
        <x14:sourceConnection name="ThisWorkbookDataModel"/>
      </ext>
    </extLst>
  </cacheSource>
  <cacheFields count="0"/>
  <cacheHierarchies count="30">
    <cacheHierarchy uniqueName="[Sheet1].[Order ID]" caption="Order ID" attribute="1" defaultMemberUniqueName="[Sheet1].[Order ID].[All]" allUniqueName="[Sheet1].[Order ID].[All]" dimensionUniqueName="[Sheet1]" displayFolder="" count="0" memberValueDatatype="20" unbalanced="0"/>
    <cacheHierarchy uniqueName="[Sheet1].[Date]" caption="Date" attribute="1" time="1" defaultMemberUniqueName="[Sheet1].[Date].[All]" allUniqueName="[Sheet1].[Date].[All]" dimensionUniqueName="[Sheet1]" displayFolder="" count="0" memberValueDatatype="7" unbalanced="0"/>
    <cacheHierarchy uniqueName="[Sheet1].[Customer Name]" caption="Customer Name" attribute="1" defaultMemberUniqueName="[Sheet1].[Customer Name].[All]" allUniqueName="[Sheet1].[Customer Name].[All]" dimensionUniqueName="[Sheet1]" displayFolder="" count="0" memberValueDatatype="130" unbalanced="0"/>
    <cacheHierarchy uniqueName="[Sheet1].[Region]" caption="Region" attribute="1" defaultMemberUniqueName="[Sheet1].[Region].[All]" allUniqueName="[Sheet1].[Region].[All]" dimensionUniqueName="[Sheet1]" displayFolder="" count="0" memberValueDatatype="130" unbalanced="0"/>
    <cacheHierarchy uniqueName="[Sheet1].[Product Category]" caption="Product Category" attribute="1" defaultMemberUniqueName="[Sheet1].[Product Category].[All]" allUniqueName="[Sheet1].[Product Category].[All]" dimensionUniqueName="[Sheet1]" displayFolder="" count="0" memberValueDatatype="130" unbalanced="0"/>
    <cacheHierarchy uniqueName="[Sheet1].[Product Name]" caption="Product Name" attribute="1" defaultMemberUniqueName="[Sheet1].[Product Name].[All]" allUniqueName="[Sheet1].[Product Name].[All]" dimensionUniqueName="[Sheet1]" displayFolder="" count="0" memberValueDatatype="130" unbalanced="0"/>
    <cacheHierarchy uniqueName="[Sheet1].[Quantity]" caption="Quantity" attribute="1" defaultMemberUniqueName="[Sheet1].[Quantity].[All]" allUniqueName="[Sheet1].[Quantity].[All]" dimensionUniqueName="[Sheet1]" displayFolder="" count="0" memberValueDatatype="20" unbalanced="0"/>
    <cacheHierarchy uniqueName="[Sheet1].[Unit Price (?)]" caption="Unit Price (?)" attribute="1" defaultMemberUniqueName="[Sheet1].[Unit Price (?)].[All]" allUniqueName="[Sheet1].[Unit Price (?)].[All]" dimensionUniqueName="[Sheet1]" displayFolder="" count="0" memberValueDatatype="20" unbalanced="0"/>
    <cacheHierarchy uniqueName="[Sheet1].[Total Sales (?)]" caption="Total Sales (?)" attribute="1" defaultMemberUniqueName="[Sheet1].[Total Sales (?)].[All]" allUniqueName="[Sheet1].[Total Sales (?)].[All]" dimensionUniqueName="[Sheet1]" displayFolder="" count="0" memberValueDatatype="20" unbalanced="0"/>
    <cacheHierarchy uniqueName="[Sheet1].[Profit Margin (%)]" caption="Profit Margin (%)" attribute="1" defaultMemberUniqueName="[Sheet1].[Profit Margin (%)].[All]" allUniqueName="[Sheet1].[Profit Margin (%)].[All]" dimensionUniqueName="[Sheet1]" displayFolder="" count="0" memberValueDatatype="20" unbalanced="0"/>
    <cacheHierarchy uniqueName="[Sheet1].[Customer Age]" caption="Customer Age" attribute="1" defaultMemberUniqueName="[Sheet1].[Customer Age].[All]" allUniqueName="[Sheet1].[Customer Age].[All]" dimensionUniqueName="[Sheet1]" displayFolder="" count="0" memberValueDatatype="20" unbalanced="0"/>
    <cacheHierarchy uniqueName="[Sheet1].[Payment Mode]" caption="Payment Mode" attribute="1" defaultMemberUniqueName="[Sheet1].[Payment Mode].[All]" allUniqueName="[Sheet1].[Payment Mode].[All]" dimensionUniqueName="[Sheet1]" displayFolder="" count="0" memberValueDatatype="130" unbalanced="0"/>
    <cacheHierarchy uniqueName="[Sheet1].[Column13]" caption="Column13" attribute="1" defaultMemberUniqueName="[Sheet1].[Column13].[All]" allUniqueName="[Sheet1].[Column13].[All]" dimensionUniqueName="[Sheet1]" displayFolder="" count="0" memberValueDatatype="130" unbalanced="0"/>
    <cacheHierarchy uniqueName="[Table2].[Accident ID]" caption="Accident ID" attribute="1" defaultMemberUniqueName="[Table2].[Accident ID].[All]" allUniqueName="[Table2].[Accident ID].[All]" dimensionUniqueName="[Table2]" displayFolder="" count="0" memberValueDatatype="130" unbalanced="0"/>
    <cacheHierarchy uniqueName="[Table2].[Date]" caption="Date" attribute="1" time="1" defaultMemberUniqueName="[Table2].[Date].[All]" allUniqueName="[Table2].[Date].[All]" dimensionUniqueName="[Table2]" displayFolder="" count="0" memberValueDatatype="7" unbalanced="0"/>
    <cacheHierarchy uniqueName="[Table2].[Location]" caption="Location" attribute="1" defaultMemberUniqueName="[Table2].[Location].[All]" allUniqueName="[Table2].[Location].[All]" dimensionUniqueName="[Table2]" displayFolder="" count="0" memberValueDatatype="130" unbalanced="0"/>
    <cacheHierarchy uniqueName="[Table2].[Accident Type]" caption="Accident Type" attribute="1" defaultMemberUniqueName="[Table2].[Accident Type].[All]" allUniqueName="[Table2].[Accident Type].[All]" dimensionUniqueName="[Table2]" displayFolder="" count="0" memberValueDatatype="130" unbalanced="0"/>
    <cacheHierarchy uniqueName="[Table2].[Vehicle Type]" caption="Vehicle Type" attribute="1" defaultMemberUniqueName="[Table2].[Vehicle Type].[All]" allUniqueName="[Table2].[Vehicle Type].[All]" dimensionUniqueName="[Table2]" displayFolder="" count="0" memberValueDatatype="130" unbalanced="0"/>
    <cacheHierarchy uniqueName="[Table2].[Weather Condition]" caption="Weather Condition" attribute="1" defaultMemberUniqueName="[Table2].[Weather Condition].[All]" allUniqueName="[Table2].[Weather Condition].[All]" dimensionUniqueName="[Table2]" displayFolder="" count="0" memberValueDatatype="130" unbalanced="0"/>
    <cacheHierarchy uniqueName="[Table2].[Road Condition]" caption="Road Condition" attribute="1" defaultMemberUniqueName="[Table2].[Road Condition].[All]" allUniqueName="[Table2].[Road Condition].[All]" dimensionUniqueName="[Table2]" displayFolder="" count="0" memberValueDatatype="130" unbalanced="0"/>
    <cacheHierarchy uniqueName="[Table2].[Severity]" caption="Severity" attribute="1" defaultMemberUniqueName="[Table2].[Severity].[All]" allUniqueName="[Table2].[Severity].[All]" dimensionUniqueName="[Table2]" displayFolder="" count="0" memberValueDatatype="130" unbalanced="0"/>
    <cacheHierarchy uniqueName="[Table2].[Cause]" caption="Cause" attribute="1" defaultMemberUniqueName="[Table2].[Cause].[All]" allUniqueName="[Table2].[Cause].[All]" dimensionUniqueName="[Table2]" displayFolder="" count="0" memberValueDatatype="130" unbalanced="0"/>
    <cacheHierarchy uniqueName="[Table2].[Casualties]" caption="Casualties" attribute="1" defaultMemberUniqueName="[Table2].[Casualties].[All]" allUniqueName="[Table2].[Casualties].[All]" dimensionUniqueName="[Table2]" displayFolder="" count="0" memberValueDatatype="20" unbalanced="0"/>
    <cacheHierarchy uniqueName="[Table2].[Date (Month)]" caption="Date (Month)" attribute="1" defaultMemberUniqueName="[Table2].[Date (Month)].[All]" allUniqueName="[Table2].[Date (Month)].[All]" dimensionUniqueName="[Table2]" displayFolder="" count="0" memberValueDatatype="13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XL_Count Sheet1]" caption="__XL_Count Sheet1" measure="1" displayFolder="" measureGroup="Sheet1" count="0" hidden="1"/>
    <cacheHierarchy uniqueName="[Measures].[__No measures defined]" caption="__No measures defined" measure="1" displayFolder="" count="0" hidden="1"/>
    <cacheHierarchy uniqueName="[Measures].[Count of Accident ID]" caption="Count of Accident ID" measure="1" displayFolder="" measureGroup="Table2" count="0" hidden="1">
      <extLst>
        <ext xmlns:x15="http://schemas.microsoft.com/office/spreadsheetml/2010/11/main" uri="{B97F6D7D-B522-45F9-BDA1-12C45D357490}">
          <x15:cacheHierarchy aggregatedColumn="13"/>
        </ext>
      </extLst>
    </cacheHierarchy>
    <cacheHierarchy uniqueName="[Measures].[Sum of Casualties]" caption="Sum of Casualties" measure="1" displayFolder="" measureGroup="Table2" count="0" hidden="1">
      <extLst>
        <ext xmlns:x15="http://schemas.microsoft.com/office/spreadsheetml/2010/11/main" uri="{B97F6D7D-B522-45F9-BDA1-12C45D357490}">
          <x15:cacheHierarchy aggregatedColumn="22"/>
        </ext>
      </extLst>
    </cacheHierarchy>
  </cacheHierarchies>
  <kpis count="0"/>
  <dimensions count="3">
    <dimension measure="1" name="Measures" uniqueName="[Measures]" caption="Measures"/>
    <dimension name="Sheet1" uniqueName="[Sheet1]" caption="Sheet1"/>
    <dimension name="Table2" uniqueName="[Table2]" caption="Table2"/>
  </dimensions>
  <measureGroups count="2">
    <measureGroup name="Sheet1" caption="Sheet1"/>
    <measureGroup name="Table2" caption="Table2"/>
  </measureGroups>
  <maps count="2">
    <map measureGroup="0" dimension="1"/>
    <map measureGroup="1" dimension="2"/>
  </maps>
  <extLst>
    <ext xmlns:x14="http://schemas.microsoft.com/office/spreadsheetml/2009/9/main" uri="{725AE2AE-9491-48be-B2B4-4EB974FC3084}">
      <x14:pivotCacheDefinition slicerData="1" pivotCacheId="19522359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DDF7D3D-DFDA-4879-9A0B-11BEB7E6A1D2}"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C65:D72"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Count of Accident I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d_Accident_Dataset (Ques 7).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72E9EA-2DCE-4EA6-83CC-9D64870A52FB}" name="PivotTable5"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C47:D54"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name="Sum of Casualties" fld="1" baseField="0" baseItem="0"/>
  </dataFields>
  <chartFormats count="1">
    <chartFormat chart="2"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d_Accident_Dataset (Ques 7).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0D3626-98EA-4190-A86C-CBD91109784A}" name="PivotTable6"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C25:D3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Accident ID" fld="1" subtotal="count" baseField="0"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0" count="1" selected="0">
            <x v="0"/>
          </reference>
        </references>
      </pivotArea>
    </chartFormat>
    <chartFormat chart="2" format="12">
      <pivotArea type="data" outline="0" fieldPosition="0">
        <references count="2">
          <reference field="4294967294" count="1" selected="0">
            <x v="0"/>
          </reference>
          <reference field="0" count="1" selected="0">
            <x v="1"/>
          </reference>
        </references>
      </pivotArea>
    </chartFormat>
    <chartFormat chart="2" format="13">
      <pivotArea type="data" outline="0" fieldPosition="0">
        <references count="2">
          <reference field="4294967294" count="1" selected="0">
            <x v="0"/>
          </reference>
          <reference field="0" count="1" selected="0">
            <x v="2"/>
          </reference>
        </references>
      </pivotArea>
    </chartFormat>
    <chartFormat chart="2" format="14">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d_Accident_Dataset (Ques 7).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846C96-FCC1-47D8-87F4-836BA677E465}" name="PivotTable2"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location ref="C7:D16"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name="Count of Accident I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d_Accident_Dataset (Ques 7).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68562F2-1662-4560-9017-8F06E90F1407}" name="PivotTable11"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C100:D10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Casualties" fld="1" baseField="0" baseItem="0"/>
  </dataFields>
  <chartFormats count="5">
    <chartFormat chart="4" format="11" series="1">
      <pivotArea type="data" outline="0" fieldPosition="0">
        <references count="1">
          <reference field="4294967294" count="1" selected="0">
            <x v="0"/>
          </reference>
        </references>
      </pivotArea>
    </chartFormat>
    <chartFormat chart="4" format="12">
      <pivotArea type="data" outline="0" fieldPosition="0">
        <references count="2">
          <reference field="4294967294" count="1" selected="0">
            <x v="0"/>
          </reference>
          <reference field="0" count="1" selected="0">
            <x v="0"/>
          </reference>
        </references>
      </pivotArea>
    </chartFormat>
    <chartFormat chart="4" format="13">
      <pivotArea type="data" outline="0" fieldPosition="0">
        <references count="2">
          <reference field="4294967294" count="1" selected="0">
            <x v="0"/>
          </reference>
          <reference field="0" count="1" selected="0">
            <x v="1"/>
          </reference>
        </references>
      </pivotArea>
    </chartFormat>
    <chartFormat chart="4" format="14">
      <pivotArea type="data" outline="0" fieldPosition="0">
        <references count="2">
          <reference field="4294967294" count="1" selected="0">
            <x v="0"/>
          </reference>
          <reference field="0" count="1" selected="0">
            <x v="2"/>
          </reference>
        </references>
      </pivotArea>
    </chartFormat>
    <chartFormat chart="4" format="15">
      <pivotArea type="data" outline="0" fieldPosition="0">
        <references count="2">
          <reference field="4294967294" count="1" selected="0">
            <x v="0"/>
          </reference>
          <reference field="0" count="1" selected="0">
            <x v="3"/>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d_Accident_Dataset (Ques 7).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771ED2-0EC0-4547-ABFC-FACD72141D4D}"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C85:D9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Accident ID" fld="1" subtotal="count" baseField="0" baseItem="0"/>
  </dataFields>
  <chartFormats count="1">
    <chartFormat chart="4" format="2" series="1">
      <pivotArea type="data" outline="0" fieldPosition="0">
        <references count="1">
          <reference field="4294967294" count="1" selected="0">
            <x v="0"/>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oad_Accident_Dataset (Ques 7).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24FD2B75-C118-4330-8134-64704FBBE4F3}" sourceName="[Table2].[Severity]">
  <pivotTables>
    <pivotTable tabId="13" name="PivotTable11"/>
    <pivotTable tabId="13" name="PivotTable2"/>
    <pivotTable tabId="13" name="PivotTable5"/>
    <pivotTable tabId="13" name="PivotTable6"/>
    <pivotTable tabId="13" name="PivotTable7"/>
    <pivotTable tabId="13" name="PivotTable8"/>
  </pivotTables>
  <data>
    <olap pivotCacheId="1952235934">
      <levels count="2">
        <level uniqueName="[Table2].[Severity].[(All)]" sourceCaption="(All)" count="0"/>
        <level uniqueName="[Table2].[Severity].[Severity]" sourceCaption="Severity" count="4">
          <ranges>
            <range startItem="0">
              <i n="[Table2].[Severity].&amp;[Fatal]" c="Fatal"/>
              <i n="[Table2].[Severity].&amp;[Minor]" c="Minor"/>
              <i n="[Table2].[Severity].&amp;[Moderate]" c="Moderate"/>
              <i n="[Table2].[Severity].&amp;[Severe]" c="Severe"/>
            </range>
          </ranges>
        </level>
      </levels>
      <selections count="1">
        <selection n="[Table2].[Severit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 xr10:uid="{54195E8D-AB26-444B-9A4E-9550B0F12381}" sourceName="[Table2].[Vehicle Type]">
  <pivotTables>
    <pivotTable tabId="13" name="PivotTable11"/>
    <pivotTable tabId="13" name="PivotTable2"/>
    <pivotTable tabId="13" name="PivotTable5"/>
    <pivotTable tabId="13" name="PivotTable6"/>
    <pivotTable tabId="13" name="PivotTable7"/>
    <pivotTable tabId="13" name="PivotTable8"/>
  </pivotTables>
  <data>
    <olap pivotCacheId="1952235934">
      <levels count="2">
        <level uniqueName="[Table2].[Vehicle Type].[(All)]" sourceCaption="(All)" count="0"/>
        <level uniqueName="[Table2].[Vehicle Type].[Vehicle Type]" sourceCaption="Vehicle Type" count="6">
          <ranges>
            <range startItem="0">
              <i n="[Table2].[Vehicle Type].&amp;[Auto-Rickshaw]" c="Auto-Rickshaw"/>
              <i n="[Table2].[Vehicle Type].&amp;[Bicycle]" c="Bicycle"/>
              <i n="[Table2].[Vehicle Type].&amp;[Bus]" c="Bus"/>
              <i n="[Table2].[Vehicle Type].&amp;[Car]" c="Car"/>
              <i n="[Table2].[Vehicle Type].&amp;[Motorcycle]" c="Motorcycle"/>
              <i n="[Table2].[Vehicle Type].&amp;[Truck]" c="Truck"/>
            </range>
          </ranges>
        </level>
      </levels>
      <selections count="1">
        <selection n="[Table2].[Vehicle 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964C7889-A4A3-4269-9C6F-F46A5FED4B89}" sourceName="[Table2].[Location]">
  <pivotTables>
    <pivotTable tabId="13" name="PivotTable11"/>
    <pivotTable tabId="13" name="PivotTable2"/>
    <pivotTable tabId="13" name="PivotTable5"/>
    <pivotTable tabId="13" name="PivotTable6"/>
    <pivotTable tabId="13" name="PivotTable7"/>
    <pivotTable tabId="13" name="PivotTable8"/>
  </pivotTables>
  <data>
    <olap pivotCacheId="1952235934">
      <levels count="2">
        <level uniqueName="[Table2].[Location].[(All)]" sourceCaption="(All)" count="0"/>
        <level uniqueName="[Table2].[Location].[Location]" sourceCaption="Location" count="8">
          <ranges>
            <range startItem="0">
              <i n="[Table2].[Location].&amp;[Ahmedabad]" c="Ahmedabad"/>
              <i n="[Table2].[Location].&amp;[Bangalore]" c="Bangalore"/>
              <i n="[Table2].[Location].&amp;[Chennai]" c="Chennai"/>
              <i n="[Table2].[Location].&amp;[Delhi]" c="Delhi"/>
              <i n="[Table2].[Location].&amp;[Hyderabad]" c="Hyderabad"/>
              <i n="[Table2].[Location].&amp;[Kolkata]" c="Kolkata"/>
              <i n="[Table2].[Location].&amp;[Mumbai]" c="Mumbai"/>
              <i n="[Table2].[Location].&amp;[Pune]" c="Pune"/>
            </range>
          </ranges>
        </level>
      </levels>
      <selections count="1">
        <selection n="[Table2].[Lo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Condition" xr10:uid="{7646C5A1-A438-4483-AD8D-42BC53E16878}" sourceName="[Table2].[Road Condition]">
  <pivotTables>
    <pivotTable tabId="13" name="PivotTable11"/>
    <pivotTable tabId="13" name="PivotTable2"/>
    <pivotTable tabId="13" name="PivotTable5"/>
    <pivotTable tabId="13" name="PivotTable6"/>
    <pivotTable tabId="13" name="PivotTable7"/>
    <pivotTable tabId="13" name="PivotTable8"/>
  </pivotTables>
  <data>
    <olap pivotCacheId="1952235934">
      <levels count="2">
        <level uniqueName="[Table2].[Road Condition].[(All)]" sourceCaption="(All)" count="0"/>
        <level uniqueName="[Table2].[Road Condition].[Road Condition]" sourceCaption="Road Condition" count="4">
          <ranges>
            <range startItem="0">
              <i n="[Table2].[Road Condition].&amp;[Damaged]" c="Damaged"/>
              <i n="[Table2].[Road Condition].&amp;[Dry]" c="Dry"/>
              <i n="[Table2].[Road Condition].&amp;[Under Construction]" c="Under Construction"/>
              <i n="[Table2].[Road Condition].&amp;[Wet]" c="Wet"/>
            </range>
          </ranges>
        </level>
      </levels>
      <selections count="1">
        <selection n="[Table2].[Road Conditio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use" xr10:uid="{6C16F7C7-C08A-4CEA-A7E9-E8BC0D09E724}" sourceName="[Table2].[Cause]">
  <pivotTables>
    <pivotTable tabId="13" name="PivotTable11"/>
    <pivotTable tabId="13" name="PivotTable2"/>
    <pivotTable tabId="13" name="PivotTable5"/>
    <pivotTable tabId="13" name="PivotTable6"/>
    <pivotTable tabId="13" name="PivotTable7"/>
    <pivotTable tabId="13" name="PivotTable8"/>
  </pivotTables>
  <data>
    <olap pivotCacheId="1952235934">
      <levels count="2">
        <level uniqueName="[Table2].[Cause].[(All)]" sourceCaption="(All)" count="0"/>
        <level uniqueName="[Table2].[Cause].[Cause]" sourceCaption="Cause" count="6">
          <ranges>
            <range startItem="0">
              <i n="[Table2].[Cause].&amp;[Brake Failure]" c="Brake Failure"/>
              <i n="[Table2].[Cause].&amp;[Distracted Driving]" c="Distracted Driving"/>
              <i n="[Table2].[Cause].&amp;[Drunk Driving]" c="Drunk Driving"/>
              <i n="[Table2].[Cause].&amp;[Overtaking]" c="Overtaking"/>
              <i n="[Table2].[Cause].&amp;[Speeding]" c="Speeding"/>
              <i n="[Table2].[Cause].&amp;[Weather]" c="Weather"/>
            </range>
          </ranges>
        </level>
      </levels>
      <selections count="1">
        <selection n="[Table2].[Caus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ondition" xr10:uid="{C0F7537E-C1C7-4181-BB5B-7AB2D4E1EA1B}" sourceName="[Table2].[Weather Condition]">
  <pivotTables>
    <pivotTable tabId="13" name="PivotTable11"/>
    <pivotTable tabId="13" name="PivotTable2"/>
    <pivotTable tabId="13" name="PivotTable5"/>
    <pivotTable tabId="13" name="PivotTable6"/>
    <pivotTable tabId="13" name="PivotTable7"/>
    <pivotTable tabId="13" name="PivotTable8"/>
  </pivotTables>
  <data>
    <olap pivotCacheId="1952235934">
      <levels count="2">
        <level uniqueName="[Table2].[Weather Condition].[(All)]" sourceCaption="(All)" count="0"/>
        <level uniqueName="[Table2].[Weather Condition].[Weather Condition]" sourceCaption="Weather Condition" count="4">
          <ranges>
            <range startItem="0">
              <i n="[Table2].[Weather Condition].&amp;[Clear]" c="Clear"/>
              <i n="[Table2].[Weather Condition].&amp;[Foggy]" c="Foggy"/>
              <i n="[Table2].[Weather Condition].&amp;[Rainy]" c="Rainy"/>
              <i n="[Table2].[Weather Condition].&amp;[Windy]" c="Windy"/>
            </range>
          </ranges>
        </level>
      </levels>
      <selections count="1">
        <selection n="[Table2].[Weather Condit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verity" xr10:uid="{4F03B18C-32B6-43D8-B20B-41F484CF0AC7}" cache="Slicer_Severity" caption="Severity" level="1" rowHeight="225425"/>
  <slicer name="Vehicle Type" xr10:uid="{1A53FA15-C13D-482E-8DA1-11A18BC21CA3}" cache="Slicer_Vehicle_Type" caption="Vehicle Type" level="1" rowHeight="225425"/>
  <slicer name="Location" xr10:uid="{B89B22E0-FE9F-4216-A54F-9ACD78C7427F}" cache="Slicer_Location" caption="Location" level="1" rowHeight="225425"/>
  <slicer name="Road Condition" xr10:uid="{05100272-9B91-4F9C-B2B2-213A465FE68B}" cache="Slicer_Road_Condition" caption="Road Condition" level="1" rowHeight="225425"/>
  <slicer name="Cause" xr10:uid="{C8726FA1-5827-4365-9C4F-0A96C739B9D9}" cache="Slicer_Cause" caption="Cause" level="1" rowHeight="225425"/>
  <slicer name="Weather Condition" xr10:uid="{2559B8F4-5D46-4968-A818-9EBCE56C2EA2}" cache="Slicer_Weather_Condition" caption="Weather Condition" level="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5ADF35-269B-4BB6-8C81-874585877761}" name="Table2" displayName="Table2" ref="A1:J101" totalsRowShown="0" headerRowDxfId="11" dataDxfId="10">
  <autoFilter ref="A1:J101" xr:uid="{035ADF35-269B-4BB6-8C81-874585877761}"/>
  <tableColumns count="10">
    <tableColumn id="1" xr3:uid="{EB2EB84E-1F8C-4CDB-B4B2-1CAEAD1CB17C}" name="Accident ID" dataDxfId="9"/>
    <tableColumn id="2" xr3:uid="{70E5C08A-AE97-404E-B856-BF38E8019524}" name="Date" dataDxfId="8"/>
    <tableColumn id="3" xr3:uid="{20B2B5CA-0225-4764-984A-43F2FF8075F8}" name="Location" dataDxfId="7"/>
    <tableColumn id="4" xr3:uid="{83D8B9AC-CA50-404F-B723-B5B844FB20F8}" name="Accident Type" dataDxfId="6"/>
    <tableColumn id="5" xr3:uid="{63743AE5-57DE-4C41-B205-2AEF60EE7670}" name="Vehicle Type" dataDxfId="5"/>
    <tableColumn id="6" xr3:uid="{D93CB23D-4F2E-423F-83F8-E1A5A405E9EF}" name="Weather Condition" dataDxfId="4"/>
    <tableColumn id="7" xr3:uid="{3A2B045F-F80D-4698-9DEB-8C0D722538F3}" name="Road Condition" dataDxfId="3"/>
    <tableColumn id="8" xr3:uid="{6927F159-02BF-4578-8F94-661941FC0D19}" name="Severity" dataDxfId="2"/>
    <tableColumn id="9" xr3:uid="{A294FFDF-9B1E-4965-8F79-5D0AE7A9D3F7}" name="Cause" dataDxfId="1"/>
    <tableColumn id="10" xr3:uid="{57C78E18-8D9F-4952-BE2C-91F75C206BEB}" name="Casualties"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1F8AE-6D64-4573-AC96-B52E4C1D6A48}">
  <sheetPr codeName="Sheet1"/>
  <dimension ref="A2:E12"/>
  <sheetViews>
    <sheetView workbookViewId="0">
      <selection activeCell="E7" sqref="E7"/>
    </sheetView>
  </sheetViews>
  <sheetFormatPr defaultRowHeight="12.75" x14ac:dyDescent="0.2"/>
  <cols>
    <col min="1" max="1" width="14" customWidth="1"/>
    <col min="2" max="2" width="16" customWidth="1"/>
    <col min="3" max="3" width="15" customWidth="1"/>
    <col min="4" max="4" width="72" customWidth="1"/>
  </cols>
  <sheetData>
    <row r="2" spans="1:5" ht="15" x14ac:dyDescent="0.2">
      <c r="A2" s="32" t="s">
        <v>178</v>
      </c>
      <c r="B2" s="32"/>
      <c r="C2" s="32"/>
      <c r="D2" s="32"/>
    </row>
    <row r="4" spans="1:5" ht="15" x14ac:dyDescent="0.25">
      <c r="B4" s="4" t="s">
        <v>147</v>
      </c>
      <c r="C4" s="4" t="s">
        <v>148</v>
      </c>
      <c r="D4" s="4" t="s">
        <v>149</v>
      </c>
      <c r="E4" s="4" t="s">
        <v>150</v>
      </c>
    </row>
    <row r="5" spans="1:5" x14ac:dyDescent="0.2">
      <c r="B5" t="s">
        <v>151</v>
      </c>
      <c r="C5" t="s">
        <v>152</v>
      </c>
      <c r="D5" s="7">
        <v>43266</v>
      </c>
      <c r="E5" t="str">
        <f t="shared" ref="E5:E12" ca="1" si="0">DATEDIF(D5,TODAY(),"Y")&amp;" Years "&amp;DATEDIF(D5,TODAY(),"YM")&amp;" Months"</f>
        <v>7 Years 6 Months</v>
      </c>
    </row>
    <row r="6" spans="1:5" x14ac:dyDescent="0.2">
      <c r="B6" t="s">
        <v>153</v>
      </c>
      <c r="C6" t="s">
        <v>154</v>
      </c>
      <c r="D6" t="s">
        <v>155</v>
      </c>
      <c r="E6" t="str">
        <f t="shared" ca="1" si="0"/>
        <v>6 Years 11 Months</v>
      </c>
    </row>
    <row r="7" spans="1:5" x14ac:dyDescent="0.2">
      <c r="B7" t="s">
        <v>156</v>
      </c>
      <c r="C7" t="s">
        <v>157</v>
      </c>
      <c r="D7" t="s">
        <v>158</v>
      </c>
      <c r="E7" t="str">
        <f t="shared" ca="1" si="0"/>
        <v>8 Years 3 Months</v>
      </c>
    </row>
    <row r="8" spans="1:5" x14ac:dyDescent="0.2">
      <c r="B8" t="s">
        <v>159</v>
      </c>
      <c r="C8" t="s">
        <v>160</v>
      </c>
      <c r="D8" t="s">
        <v>161</v>
      </c>
      <c r="E8" t="str">
        <f t="shared" ca="1" si="0"/>
        <v>5 Years 10 Months</v>
      </c>
    </row>
    <row r="9" spans="1:5" x14ac:dyDescent="0.2">
      <c r="B9" t="s">
        <v>162</v>
      </c>
      <c r="C9" t="s">
        <v>163</v>
      </c>
      <c r="D9" t="s">
        <v>164</v>
      </c>
      <c r="E9" t="str">
        <f t="shared" ca="1" si="0"/>
        <v>9 Years 1 Months</v>
      </c>
    </row>
    <row r="10" spans="1:5" x14ac:dyDescent="0.2">
      <c r="B10" t="s">
        <v>165</v>
      </c>
      <c r="C10" t="s">
        <v>166</v>
      </c>
      <c r="D10" t="s">
        <v>167</v>
      </c>
      <c r="E10" t="str">
        <f t="shared" ca="1" si="0"/>
        <v>10 Years 5 Months</v>
      </c>
    </row>
    <row r="11" spans="1:5" x14ac:dyDescent="0.2">
      <c r="B11" t="s">
        <v>168</v>
      </c>
      <c r="C11" t="s">
        <v>169</v>
      </c>
      <c r="D11" t="s">
        <v>170</v>
      </c>
      <c r="E11" t="str">
        <f t="shared" ca="1" si="0"/>
        <v>4 Years 11 Months</v>
      </c>
    </row>
    <row r="12" spans="1:5" x14ac:dyDescent="0.2">
      <c r="B12" t="s">
        <v>171</v>
      </c>
      <c r="C12" t="s">
        <v>172</v>
      </c>
      <c r="D12" t="s">
        <v>173</v>
      </c>
      <c r="E12" t="str">
        <f t="shared" ca="1" si="0"/>
        <v>6 Years 4 Months</v>
      </c>
    </row>
  </sheetData>
  <mergeCells count="1">
    <mergeCell ref="A2:D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5D9ED-0BAA-470B-9C6A-4DDED68A631D}">
  <dimension ref="A1:W20"/>
  <sheetViews>
    <sheetView workbookViewId="0">
      <selection activeCell="I26" sqref="I26"/>
    </sheetView>
  </sheetViews>
  <sheetFormatPr defaultRowHeight="12.75" x14ac:dyDescent="0.2"/>
  <sheetData>
    <row r="1" spans="1:23" ht="16.5" customHeight="1" x14ac:dyDescent="0.2">
      <c r="A1" s="33" t="s">
        <v>345</v>
      </c>
      <c r="B1" s="33"/>
      <c r="C1" s="33"/>
      <c r="D1" s="33"/>
      <c r="E1" s="33"/>
      <c r="F1" s="33"/>
      <c r="G1" s="33"/>
      <c r="H1" s="33"/>
      <c r="I1" s="33"/>
      <c r="J1" s="33"/>
      <c r="K1" s="33"/>
      <c r="L1" s="33"/>
      <c r="M1" s="33"/>
      <c r="N1" s="33"/>
      <c r="O1" s="31"/>
      <c r="P1" s="31"/>
      <c r="Q1" s="31"/>
      <c r="R1" s="31"/>
      <c r="S1" s="31"/>
      <c r="T1" s="31"/>
      <c r="U1" s="31"/>
      <c r="V1" s="31"/>
      <c r="W1" s="31"/>
    </row>
    <row r="2" spans="1:23" x14ac:dyDescent="0.2">
      <c r="A2" s="33"/>
      <c r="B2" s="33"/>
      <c r="C2" s="33"/>
      <c r="D2" s="33"/>
      <c r="E2" s="33"/>
      <c r="F2" s="33"/>
      <c r="G2" s="33"/>
      <c r="H2" s="33"/>
      <c r="I2" s="33"/>
      <c r="J2" s="33"/>
      <c r="K2" s="33"/>
      <c r="L2" s="33"/>
      <c r="M2" s="33"/>
      <c r="N2" s="33"/>
      <c r="O2" s="31"/>
      <c r="P2" s="31"/>
      <c r="Q2" s="31"/>
      <c r="R2" s="31"/>
      <c r="S2" s="31"/>
      <c r="T2" s="31"/>
      <c r="U2" s="31"/>
      <c r="V2" s="31"/>
      <c r="W2" s="31"/>
    </row>
    <row r="3" spans="1:23" x14ac:dyDescent="0.2">
      <c r="A3" s="33"/>
      <c r="B3" s="33"/>
      <c r="C3" s="33"/>
      <c r="D3" s="33"/>
      <c r="E3" s="33"/>
      <c r="F3" s="33"/>
      <c r="G3" s="33"/>
      <c r="H3" s="33"/>
      <c r="I3" s="33"/>
      <c r="J3" s="33"/>
      <c r="K3" s="33"/>
      <c r="L3" s="33"/>
      <c r="M3" s="33"/>
      <c r="N3" s="33"/>
      <c r="O3" s="31"/>
      <c r="P3" s="31"/>
      <c r="Q3" s="31"/>
      <c r="R3" s="31"/>
      <c r="S3" s="31"/>
      <c r="T3" s="31"/>
      <c r="U3" s="31"/>
      <c r="V3" s="31"/>
      <c r="W3" s="31"/>
    </row>
    <row r="4" spans="1:23" x14ac:dyDescent="0.2">
      <c r="A4" s="33"/>
      <c r="B4" s="33"/>
      <c r="C4" s="33"/>
      <c r="D4" s="33"/>
      <c r="E4" s="33"/>
      <c r="F4" s="33"/>
      <c r="G4" s="33"/>
      <c r="H4" s="33"/>
      <c r="I4" s="33"/>
      <c r="J4" s="33"/>
      <c r="K4" s="33"/>
      <c r="L4" s="33"/>
      <c r="M4" s="33"/>
      <c r="N4" s="33"/>
      <c r="O4" s="31"/>
      <c r="P4" s="31"/>
      <c r="Q4" s="31"/>
      <c r="R4" s="31"/>
      <c r="S4" s="31"/>
      <c r="T4" s="31"/>
      <c r="U4" s="31"/>
      <c r="V4" s="31"/>
      <c r="W4" s="31"/>
    </row>
    <row r="5" spans="1:23" x14ac:dyDescent="0.2">
      <c r="A5" s="33"/>
      <c r="B5" s="33"/>
      <c r="C5" s="33"/>
      <c r="D5" s="33"/>
      <c r="E5" s="33"/>
      <c r="F5" s="33"/>
      <c r="G5" s="33"/>
      <c r="H5" s="33"/>
      <c r="I5" s="33"/>
      <c r="J5" s="33"/>
      <c r="K5" s="33"/>
      <c r="L5" s="33"/>
      <c r="M5" s="33"/>
      <c r="N5" s="33"/>
      <c r="O5" s="31"/>
      <c r="P5" s="31"/>
      <c r="Q5" s="31"/>
      <c r="R5" s="31"/>
      <c r="S5" s="31"/>
      <c r="T5" s="31"/>
      <c r="U5" s="31"/>
      <c r="V5" s="31"/>
      <c r="W5" s="31"/>
    </row>
    <row r="6" spans="1:23" x14ac:dyDescent="0.2">
      <c r="A6" s="31"/>
      <c r="B6" s="31"/>
      <c r="C6" s="31"/>
      <c r="D6" s="31"/>
      <c r="E6" s="31"/>
      <c r="F6" s="31"/>
      <c r="G6" s="31"/>
      <c r="H6" s="31"/>
      <c r="I6" s="31"/>
      <c r="J6" s="31"/>
      <c r="K6" s="31"/>
      <c r="L6" s="31"/>
      <c r="M6" s="31"/>
      <c r="N6" s="31"/>
      <c r="O6" s="31"/>
      <c r="P6" s="31"/>
      <c r="Q6" s="31"/>
      <c r="R6" s="31"/>
      <c r="S6" s="31"/>
      <c r="T6" s="31"/>
      <c r="U6" s="31"/>
      <c r="V6" s="31"/>
      <c r="W6" s="31"/>
    </row>
    <row r="7" spans="1:23" x14ac:dyDescent="0.2">
      <c r="A7" s="31"/>
      <c r="B7" s="31"/>
      <c r="C7" s="31"/>
      <c r="D7" s="31"/>
      <c r="E7" s="31"/>
      <c r="F7" s="31"/>
      <c r="G7" s="31"/>
      <c r="H7" s="31"/>
      <c r="I7" s="31"/>
      <c r="J7" s="31"/>
      <c r="K7" s="31"/>
      <c r="L7" s="31"/>
      <c r="M7" s="31"/>
      <c r="N7" s="31"/>
      <c r="O7" s="31"/>
      <c r="P7" s="31"/>
      <c r="Q7" s="31"/>
      <c r="R7" s="31"/>
      <c r="S7" s="31"/>
      <c r="T7" s="31"/>
      <c r="U7" s="31"/>
      <c r="V7" s="31"/>
      <c r="W7" s="31"/>
    </row>
    <row r="8" spans="1:23" x14ac:dyDescent="0.2">
      <c r="A8" s="31"/>
      <c r="B8" s="31"/>
      <c r="C8" s="31"/>
      <c r="D8" s="31"/>
      <c r="E8" s="31"/>
      <c r="F8" s="31"/>
      <c r="G8" s="31"/>
      <c r="H8" s="31"/>
      <c r="I8" s="31"/>
      <c r="J8" s="31"/>
      <c r="K8" s="31"/>
      <c r="L8" s="31"/>
      <c r="M8" s="31"/>
      <c r="N8" s="31"/>
      <c r="O8" s="31"/>
      <c r="P8" s="31"/>
      <c r="Q8" s="31"/>
      <c r="R8" s="31"/>
      <c r="S8" s="31"/>
      <c r="T8" s="31"/>
      <c r="U8" s="31"/>
      <c r="V8" s="31"/>
      <c r="W8" s="31"/>
    </row>
    <row r="9" spans="1:23" x14ac:dyDescent="0.2">
      <c r="A9" s="31"/>
      <c r="B9" s="31"/>
      <c r="C9" s="31"/>
      <c r="D9" s="31"/>
      <c r="E9" s="31"/>
      <c r="F9" s="31"/>
      <c r="G9" s="31"/>
      <c r="H9" s="31"/>
      <c r="I9" s="31"/>
      <c r="J9" s="31"/>
      <c r="K9" s="31"/>
      <c r="L9" s="31"/>
      <c r="M9" s="31"/>
      <c r="N9" s="31"/>
      <c r="O9" s="31"/>
      <c r="P9" s="31"/>
      <c r="Q9" s="31"/>
      <c r="R9" s="31"/>
      <c r="S9" s="31"/>
      <c r="T9" s="31"/>
      <c r="U9" s="31"/>
      <c r="V9" s="31"/>
      <c r="W9" s="31"/>
    </row>
    <row r="10" spans="1:23" x14ac:dyDescent="0.2">
      <c r="A10" s="31"/>
      <c r="B10" s="31"/>
      <c r="C10" s="31"/>
      <c r="D10" s="31"/>
      <c r="E10" s="31"/>
      <c r="F10" s="31"/>
      <c r="G10" s="31"/>
      <c r="H10" s="31"/>
      <c r="I10" s="31"/>
      <c r="J10" s="31"/>
      <c r="K10" s="31"/>
      <c r="L10" s="31"/>
      <c r="M10" s="31"/>
      <c r="N10" s="31"/>
      <c r="O10" s="31"/>
      <c r="P10" s="31"/>
      <c r="Q10" s="31"/>
      <c r="R10" s="31"/>
      <c r="S10" s="31"/>
      <c r="T10" s="31"/>
      <c r="U10" s="31"/>
      <c r="V10" s="31"/>
      <c r="W10" s="31"/>
    </row>
    <row r="11" spans="1:23" x14ac:dyDescent="0.2">
      <c r="A11" s="31"/>
      <c r="B11" s="31"/>
      <c r="C11" s="31"/>
      <c r="D11" s="31"/>
      <c r="E11" s="31"/>
      <c r="F11" s="31"/>
      <c r="G11" s="31"/>
      <c r="H11" s="31"/>
      <c r="I11" s="31"/>
      <c r="J11" s="31"/>
      <c r="K11" s="31"/>
      <c r="L11" s="31"/>
      <c r="M11" s="31"/>
      <c r="N11" s="31"/>
      <c r="O11" s="31"/>
      <c r="P11" s="31"/>
      <c r="Q11" s="31"/>
      <c r="R11" s="31"/>
      <c r="S11" s="31"/>
      <c r="T11" s="31"/>
      <c r="U11" s="31"/>
      <c r="V11" s="31"/>
      <c r="W11" s="31"/>
    </row>
    <row r="12" spans="1:23" x14ac:dyDescent="0.2">
      <c r="A12" s="31"/>
      <c r="B12" s="31"/>
      <c r="C12" s="31"/>
      <c r="D12" s="31"/>
      <c r="E12" s="31"/>
      <c r="F12" s="31"/>
      <c r="G12" s="31"/>
      <c r="H12" s="31"/>
      <c r="I12" s="31"/>
      <c r="J12" s="31"/>
      <c r="K12" s="31"/>
      <c r="L12" s="31"/>
      <c r="M12" s="31"/>
      <c r="N12" s="31"/>
      <c r="O12" s="31"/>
      <c r="P12" s="31"/>
      <c r="Q12" s="31"/>
      <c r="R12" s="31"/>
      <c r="S12" s="31"/>
      <c r="T12" s="31"/>
      <c r="U12" s="31"/>
      <c r="V12" s="31"/>
      <c r="W12" s="31"/>
    </row>
    <row r="13" spans="1:23" x14ac:dyDescent="0.2">
      <c r="A13" s="31"/>
      <c r="B13" s="31"/>
      <c r="C13" s="31"/>
      <c r="D13" s="31"/>
      <c r="E13" s="31"/>
      <c r="F13" s="31"/>
      <c r="G13" s="31"/>
      <c r="H13" s="31"/>
      <c r="I13" s="31"/>
      <c r="J13" s="31"/>
      <c r="K13" s="31"/>
      <c r="L13" s="31"/>
      <c r="M13" s="31"/>
      <c r="N13" s="31"/>
      <c r="O13" s="31"/>
      <c r="P13" s="31"/>
      <c r="Q13" s="31"/>
      <c r="R13" s="31"/>
      <c r="S13" s="31"/>
      <c r="T13" s="31"/>
      <c r="U13" s="31"/>
      <c r="V13" s="31"/>
      <c r="W13" s="31"/>
    </row>
    <row r="14" spans="1:23" x14ac:dyDescent="0.2">
      <c r="A14" s="31"/>
      <c r="B14" s="31"/>
      <c r="C14" s="31"/>
      <c r="D14" s="31"/>
      <c r="E14" s="31"/>
      <c r="F14" s="31"/>
      <c r="G14" s="31"/>
      <c r="H14" s="31"/>
      <c r="I14" s="31"/>
      <c r="J14" s="31"/>
      <c r="K14" s="31"/>
      <c r="L14" s="31"/>
      <c r="M14" s="31"/>
      <c r="N14" s="31"/>
      <c r="O14" s="31"/>
      <c r="P14" s="31"/>
      <c r="Q14" s="31"/>
      <c r="R14" s="31"/>
      <c r="S14" s="31"/>
      <c r="T14" s="31"/>
      <c r="U14" s="31"/>
      <c r="V14" s="31"/>
      <c r="W14" s="31"/>
    </row>
    <row r="15" spans="1:23" x14ac:dyDescent="0.2">
      <c r="A15" s="31"/>
      <c r="B15" s="31"/>
      <c r="C15" s="31"/>
      <c r="D15" s="31"/>
      <c r="E15" s="31"/>
      <c r="F15" s="31"/>
      <c r="G15" s="31"/>
      <c r="H15" s="31"/>
      <c r="I15" s="31"/>
      <c r="J15" s="31"/>
      <c r="K15" s="31"/>
      <c r="L15" s="31"/>
      <c r="M15" s="31"/>
      <c r="N15" s="31"/>
      <c r="O15" s="31"/>
      <c r="P15" s="31"/>
      <c r="Q15" s="31"/>
      <c r="R15" s="31"/>
      <c r="S15" s="31"/>
      <c r="T15" s="31"/>
      <c r="U15" s="31"/>
      <c r="V15" s="31"/>
      <c r="W15" s="31"/>
    </row>
    <row r="16" spans="1:23" x14ac:dyDescent="0.2">
      <c r="A16" s="31"/>
      <c r="B16" s="31"/>
      <c r="C16" s="31"/>
      <c r="D16" s="31"/>
      <c r="E16" s="31"/>
      <c r="F16" s="31"/>
      <c r="G16" s="31"/>
      <c r="H16" s="31"/>
      <c r="I16" s="31"/>
      <c r="J16" s="31"/>
      <c r="K16" s="31"/>
      <c r="L16" s="31"/>
      <c r="M16" s="31"/>
      <c r="N16" s="31"/>
      <c r="O16" s="31"/>
      <c r="P16" s="31"/>
      <c r="Q16" s="31"/>
      <c r="R16" s="31"/>
      <c r="S16" s="31"/>
      <c r="T16" s="31"/>
      <c r="U16" s="31"/>
      <c r="V16" s="31"/>
      <c r="W16" s="31"/>
    </row>
    <row r="17" spans="1:23" x14ac:dyDescent="0.2">
      <c r="A17" s="31"/>
      <c r="B17" s="31"/>
      <c r="C17" s="31"/>
      <c r="D17" s="31"/>
      <c r="E17" s="31"/>
      <c r="F17" s="31"/>
      <c r="G17" s="31"/>
      <c r="H17" s="31"/>
      <c r="I17" s="31"/>
      <c r="J17" s="31"/>
      <c r="K17" s="31"/>
      <c r="L17" s="31"/>
      <c r="M17" s="31"/>
      <c r="N17" s="31"/>
      <c r="O17" s="31"/>
      <c r="P17" s="31"/>
      <c r="Q17" s="31"/>
      <c r="R17" s="31"/>
      <c r="S17" s="31"/>
      <c r="T17" s="31"/>
      <c r="U17" s="31"/>
      <c r="V17" s="31"/>
      <c r="W17" s="31"/>
    </row>
    <row r="18" spans="1:23" x14ac:dyDescent="0.2">
      <c r="A18" s="31"/>
      <c r="B18" s="31"/>
      <c r="C18" s="31"/>
      <c r="D18" s="31"/>
      <c r="E18" s="31"/>
      <c r="F18" s="31"/>
      <c r="G18" s="31"/>
      <c r="H18" s="31"/>
      <c r="I18" s="31"/>
      <c r="J18" s="31"/>
      <c r="K18" s="31"/>
      <c r="L18" s="31"/>
      <c r="M18" s="31"/>
      <c r="N18" s="31"/>
      <c r="O18" s="31"/>
      <c r="P18" s="31"/>
      <c r="Q18" s="31"/>
      <c r="R18" s="31"/>
      <c r="S18" s="31"/>
      <c r="T18" s="31"/>
      <c r="U18" s="31"/>
      <c r="V18" s="31"/>
      <c r="W18" s="31"/>
    </row>
    <row r="19" spans="1:23" x14ac:dyDescent="0.2">
      <c r="A19" s="31"/>
      <c r="B19" s="31"/>
      <c r="C19" s="31"/>
      <c r="D19" s="31"/>
      <c r="E19" s="31"/>
      <c r="F19" s="31"/>
      <c r="G19" s="31"/>
      <c r="H19" s="31"/>
      <c r="I19" s="31"/>
      <c r="J19" s="31"/>
      <c r="K19" s="31"/>
      <c r="L19" s="31"/>
      <c r="M19" s="31"/>
      <c r="N19" s="31"/>
      <c r="O19" s="31"/>
      <c r="P19" s="31"/>
      <c r="Q19" s="31"/>
      <c r="R19" s="31"/>
      <c r="S19" s="31"/>
      <c r="T19" s="31"/>
      <c r="U19" s="31"/>
      <c r="V19" s="31"/>
      <c r="W19" s="31"/>
    </row>
    <row r="20" spans="1:23" x14ac:dyDescent="0.2">
      <c r="A20" s="31"/>
      <c r="B20" s="31"/>
      <c r="C20" s="31"/>
      <c r="D20" s="31"/>
      <c r="E20" s="31"/>
      <c r="F20" s="31"/>
      <c r="G20" s="31"/>
      <c r="H20" s="31"/>
      <c r="I20" s="31"/>
      <c r="J20" s="31"/>
      <c r="K20" s="31"/>
      <c r="L20" s="31"/>
      <c r="M20" s="31"/>
      <c r="N20" s="31"/>
      <c r="O20" s="31"/>
      <c r="P20" s="31"/>
      <c r="Q20" s="31"/>
      <c r="R20" s="31"/>
      <c r="S20" s="31"/>
      <c r="T20" s="31"/>
      <c r="U20" s="31"/>
      <c r="V20" s="31"/>
      <c r="W20" s="31"/>
    </row>
  </sheetData>
  <mergeCells count="1">
    <mergeCell ref="A1:N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outlinePr summaryBelow="0" summaryRight="0"/>
  </sheetPr>
  <dimension ref="A1:J101"/>
  <sheetViews>
    <sheetView topLeftCell="A2" zoomScale="85" zoomScaleNormal="85" workbookViewId="0">
      <selection activeCell="C24" sqref="C24"/>
    </sheetView>
  </sheetViews>
  <sheetFormatPr defaultColWidth="12.5703125" defaultRowHeight="15.75" customHeight="1" x14ac:dyDescent="0.2"/>
  <cols>
    <col min="1" max="1" width="13.42578125" customWidth="1"/>
    <col min="4" max="4" width="16" customWidth="1"/>
    <col min="5" max="5" width="15" customWidth="1"/>
    <col min="6" max="6" width="20.140625" customWidth="1"/>
    <col min="7" max="7" width="17.140625" customWidth="1"/>
    <col min="9" max="9" width="14.140625" customWidth="1"/>
  </cols>
  <sheetData>
    <row r="1" spans="1:10" x14ac:dyDescent="0.2">
      <c r="A1" s="1" t="s">
        <v>0</v>
      </c>
      <c r="B1" s="1" t="s">
        <v>1</v>
      </c>
      <c r="C1" s="1" t="s">
        <v>2</v>
      </c>
      <c r="D1" s="1" t="s">
        <v>3</v>
      </c>
      <c r="E1" s="1" t="s">
        <v>4</v>
      </c>
      <c r="F1" s="1" t="s">
        <v>5</v>
      </c>
      <c r="G1" s="1" t="s">
        <v>6</v>
      </c>
      <c r="H1" s="1" t="s">
        <v>7</v>
      </c>
      <c r="I1" s="1" t="s">
        <v>8</v>
      </c>
      <c r="J1" s="1" t="s">
        <v>9</v>
      </c>
    </row>
    <row r="2" spans="1:10" x14ac:dyDescent="0.2">
      <c r="A2" s="2" t="s">
        <v>10</v>
      </c>
      <c r="B2" s="3">
        <v>45292</v>
      </c>
      <c r="C2" s="2" t="s">
        <v>11</v>
      </c>
      <c r="D2" s="2" t="s">
        <v>12</v>
      </c>
      <c r="E2" s="2" t="s">
        <v>13</v>
      </c>
      <c r="F2" s="2" t="s">
        <v>14</v>
      </c>
      <c r="G2" s="2" t="s">
        <v>15</v>
      </c>
      <c r="H2" s="2" t="s">
        <v>16</v>
      </c>
      <c r="I2" s="2" t="s">
        <v>17</v>
      </c>
      <c r="J2" s="2">
        <v>0</v>
      </c>
    </row>
    <row r="3" spans="1:10" x14ac:dyDescent="0.2">
      <c r="A3" s="2" t="s">
        <v>18</v>
      </c>
      <c r="B3" s="3">
        <v>45380</v>
      </c>
      <c r="C3" s="2" t="s">
        <v>19</v>
      </c>
      <c r="D3" s="2" t="s">
        <v>12</v>
      </c>
      <c r="E3" s="2" t="s">
        <v>13</v>
      </c>
      <c r="F3" s="2" t="s">
        <v>20</v>
      </c>
      <c r="G3" s="2" t="s">
        <v>21</v>
      </c>
      <c r="H3" s="2" t="s">
        <v>16</v>
      </c>
      <c r="I3" s="2" t="s">
        <v>22</v>
      </c>
      <c r="J3" s="2">
        <v>0</v>
      </c>
    </row>
    <row r="4" spans="1:10" x14ac:dyDescent="0.2">
      <c r="A4" s="2" t="s">
        <v>23</v>
      </c>
      <c r="B4" s="3">
        <v>45296</v>
      </c>
      <c r="C4" s="2" t="s">
        <v>19</v>
      </c>
      <c r="D4" s="2" t="s">
        <v>12</v>
      </c>
      <c r="E4" s="2" t="s">
        <v>24</v>
      </c>
      <c r="F4" s="2" t="s">
        <v>25</v>
      </c>
      <c r="G4" s="2" t="s">
        <v>26</v>
      </c>
      <c r="H4" s="2" t="s">
        <v>27</v>
      </c>
      <c r="I4" s="2" t="s">
        <v>17</v>
      </c>
      <c r="J4" s="2">
        <v>3</v>
      </c>
    </row>
    <row r="5" spans="1:10" x14ac:dyDescent="0.2">
      <c r="A5" s="2" t="s">
        <v>28</v>
      </c>
      <c r="B5" s="3">
        <v>45445</v>
      </c>
      <c r="C5" s="2" t="s">
        <v>29</v>
      </c>
      <c r="D5" s="2" t="s">
        <v>30</v>
      </c>
      <c r="E5" s="2" t="s">
        <v>31</v>
      </c>
      <c r="F5" s="2" t="s">
        <v>14</v>
      </c>
      <c r="G5" s="2" t="s">
        <v>15</v>
      </c>
      <c r="H5" s="2" t="s">
        <v>27</v>
      </c>
      <c r="I5" s="2" t="s">
        <v>32</v>
      </c>
      <c r="J5" s="2">
        <v>4</v>
      </c>
    </row>
    <row r="6" spans="1:10" x14ac:dyDescent="0.2">
      <c r="A6" s="2" t="s">
        <v>33</v>
      </c>
      <c r="B6" s="3">
        <v>45350</v>
      </c>
      <c r="C6" s="2" t="s">
        <v>34</v>
      </c>
      <c r="D6" s="2" t="s">
        <v>35</v>
      </c>
      <c r="E6" s="2" t="s">
        <v>13</v>
      </c>
      <c r="F6" s="2" t="s">
        <v>14</v>
      </c>
      <c r="G6" s="2" t="s">
        <v>21</v>
      </c>
      <c r="H6" s="2" t="s">
        <v>16</v>
      </c>
      <c r="I6" s="2" t="s">
        <v>36</v>
      </c>
      <c r="J6" s="2">
        <v>0</v>
      </c>
    </row>
    <row r="7" spans="1:10" x14ac:dyDescent="0.2">
      <c r="A7" s="2" t="s">
        <v>37</v>
      </c>
      <c r="B7" s="3">
        <v>45399</v>
      </c>
      <c r="C7" s="2" t="s">
        <v>34</v>
      </c>
      <c r="D7" s="2" t="s">
        <v>35</v>
      </c>
      <c r="E7" s="2" t="s">
        <v>38</v>
      </c>
      <c r="F7" s="2" t="s">
        <v>39</v>
      </c>
      <c r="G7" s="2" t="s">
        <v>21</v>
      </c>
      <c r="H7" s="2" t="s">
        <v>40</v>
      </c>
      <c r="I7" s="2" t="s">
        <v>41</v>
      </c>
      <c r="J7" s="2">
        <v>4</v>
      </c>
    </row>
    <row r="8" spans="1:10" x14ac:dyDescent="0.2">
      <c r="A8" s="2" t="s">
        <v>42</v>
      </c>
      <c r="B8" s="3">
        <v>45338</v>
      </c>
      <c r="C8" s="2" t="s">
        <v>43</v>
      </c>
      <c r="D8" s="2" t="s">
        <v>35</v>
      </c>
      <c r="E8" s="2" t="s">
        <v>38</v>
      </c>
      <c r="F8" s="2" t="s">
        <v>39</v>
      </c>
      <c r="G8" s="2" t="s">
        <v>15</v>
      </c>
      <c r="H8" s="2" t="s">
        <v>40</v>
      </c>
      <c r="I8" s="2" t="s">
        <v>44</v>
      </c>
      <c r="J8" s="2">
        <v>2</v>
      </c>
    </row>
    <row r="9" spans="1:10" x14ac:dyDescent="0.2">
      <c r="A9" s="2" t="s">
        <v>45</v>
      </c>
      <c r="B9" s="3">
        <v>45369</v>
      </c>
      <c r="C9" s="2" t="s">
        <v>11</v>
      </c>
      <c r="D9" s="2" t="s">
        <v>12</v>
      </c>
      <c r="E9" s="2" t="s">
        <v>38</v>
      </c>
      <c r="F9" s="2" t="s">
        <v>20</v>
      </c>
      <c r="G9" s="2" t="s">
        <v>46</v>
      </c>
      <c r="H9" s="2" t="s">
        <v>16</v>
      </c>
      <c r="I9" s="2" t="s">
        <v>44</v>
      </c>
      <c r="J9" s="2">
        <v>5</v>
      </c>
    </row>
    <row r="10" spans="1:10" x14ac:dyDescent="0.2">
      <c r="A10" s="2" t="s">
        <v>47</v>
      </c>
      <c r="B10" s="3">
        <v>45425</v>
      </c>
      <c r="C10" s="2" t="s">
        <v>19</v>
      </c>
      <c r="D10" s="2" t="s">
        <v>30</v>
      </c>
      <c r="E10" s="2" t="s">
        <v>38</v>
      </c>
      <c r="F10" s="2" t="s">
        <v>25</v>
      </c>
      <c r="G10" s="2" t="s">
        <v>26</v>
      </c>
      <c r="H10" s="2" t="s">
        <v>40</v>
      </c>
      <c r="I10" s="2" t="s">
        <v>36</v>
      </c>
      <c r="J10" s="2">
        <v>2</v>
      </c>
    </row>
    <row r="11" spans="1:10" x14ac:dyDescent="0.2">
      <c r="A11" s="2" t="s">
        <v>48</v>
      </c>
      <c r="B11" s="3">
        <v>45307</v>
      </c>
      <c r="C11" s="2" t="s">
        <v>49</v>
      </c>
      <c r="D11" s="2" t="s">
        <v>30</v>
      </c>
      <c r="E11" s="2" t="s">
        <v>50</v>
      </c>
      <c r="F11" s="2" t="s">
        <v>14</v>
      </c>
      <c r="G11" s="2" t="s">
        <v>26</v>
      </c>
      <c r="H11" s="2" t="s">
        <v>51</v>
      </c>
      <c r="I11" s="2" t="s">
        <v>44</v>
      </c>
      <c r="J11" s="2">
        <v>5</v>
      </c>
    </row>
    <row r="12" spans="1:10" x14ac:dyDescent="0.2">
      <c r="A12" s="2" t="s">
        <v>52</v>
      </c>
      <c r="B12" s="3">
        <v>45299</v>
      </c>
      <c r="C12" s="2" t="s">
        <v>29</v>
      </c>
      <c r="D12" s="2" t="s">
        <v>53</v>
      </c>
      <c r="E12" s="2" t="s">
        <v>13</v>
      </c>
      <c r="F12" s="2" t="s">
        <v>14</v>
      </c>
      <c r="G12" s="2" t="s">
        <v>21</v>
      </c>
      <c r="H12" s="2" t="s">
        <v>27</v>
      </c>
      <c r="I12" s="2" t="s">
        <v>17</v>
      </c>
      <c r="J12" s="2">
        <v>0</v>
      </c>
    </row>
    <row r="13" spans="1:10" x14ac:dyDescent="0.2">
      <c r="A13" s="2" t="s">
        <v>54</v>
      </c>
      <c r="B13" s="3">
        <v>45468</v>
      </c>
      <c r="C13" s="2" t="s">
        <v>49</v>
      </c>
      <c r="D13" s="2" t="s">
        <v>55</v>
      </c>
      <c r="E13" s="2" t="s">
        <v>38</v>
      </c>
      <c r="F13" s="2" t="s">
        <v>14</v>
      </c>
      <c r="G13" s="2" t="s">
        <v>26</v>
      </c>
      <c r="H13" s="2" t="s">
        <v>51</v>
      </c>
      <c r="I13" s="2" t="s">
        <v>17</v>
      </c>
      <c r="J13" s="2">
        <v>3</v>
      </c>
    </row>
    <row r="14" spans="1:10" x14ac:dyDescent="0.2">
      <c r="A14" s="2" t="s">
        <v>56</v>
      </c>
      <c r="B14" s="3">
        <v>45380</v>
      </c>
      <c r="C14" s="2" t="s">
        <v>34</v>
      </c>
      <c r="D14" s="2" t="s">
        <v>55</v>
      </c>
      <c r="E14" s="2" t="s">
        <v>24</v>
      </c>
      <c r="F14" s="2" t="s">
        <v>39</v>
      </c>
      <c r="G14" s="2" t="s">
        <v>46</v>
      </c>
      <c r="H14" s="2" t="s">
        <v>51</v>
      </c>
      <c r="I14" s="2" t="s">
        <v>44</v>
      </c>
      <c r="J14" s="2">
        <v>1</v>
      </c>
    </row>
    <row r="15" spans="1:10" x14ac:dyDescent="0.2">
      <c r="A15" s="2" t="s">
        <v>57</v>
      </c>
      <c r="B15" s="3">
        <v>45384</v>
      </c>
      <c r="C15" s="2" t="s">
        <v>58</v>
      </c>
      <c r="D15" s="2" t="s">
        <v>12</v>
      </c>
      <c r="E15" s="2" t="s">
        <v>59</v>
      </c>
      <c r="F15" s="2" t="s">
        <v>20</v>
      </c>
      <c r="G15" s="2" t="s">
        <v>15</v>
      </c>
      <c r="H15" s="2" t="s">
        <v>51</v>
      </c>
      <c r="I15" s="2" t="s">
        <v>41</v>
      </c>
      <c r="J15" s="2">
        <v>2</v>
      </c>
    </row>
    <row r="16" spans="1:10" x14ac:dyDescent="0.2">
      <c r="A16" s="2" t="s">
        <v>60</v>
      </c>
      <c r="B16" s="3">
        <v>45378</v>
      </c>
      <c r="C16" s="2" t="s">
        <v>58</v>
      </c>
      <c r="D16" s="2" t="s">
        <v>55</v>
      </c>
      <c r="E16" s="2" t="s">
        <v>50</v>
      </c>
      <c r="F16" s="2" t="s">
        <v>20</v>
      </c>
      <c r="G16" s="2" t="s">
        <v>26</v>
      </c>
      <c r="H16" s="2" t="s">
        <v>16</v>
      </c>
      <c r="I16" s="2" t="s">
        <v>32</v>
      </c>
      <c r="J16" s="2">
        <v>1</v>
      </c>
    </row>
    <row r="17" spans="1:10" x14ac:dyDescent="0.2">
      <c r="A17" s="2" t="s">
        <v>61</v>
      </c>
      <c r="B17" s="3">
        <v>45431</v>
      </c>
      <c r="C17" s="2" t="s">
        <v>58</v>
      </c>
      <c r="D17" s="2" t="s">
        <v>12</v>
      </c>
      <c r="E17" s="2" t="s">
        <v>31</v>
      </c>
      <c r="F17" s="2" t="s">
        <v>20</v>
      </c>
      <c r="G17" s="2" t="s">
        <v>21</v>
      </c>
      <c r="H17" s="2" t="s">
        <v>51</v>
      </c>
      <c r="I17" s="2" t="s">
        <v>22</v>
      </c>
      <c r="J17" s="2">
        <v>5</v>
      </c>
    </row>
    <row r="18" spans="1:10" x14ac:dyDescent="0.2">
      <c r="A18" s="2" t="s">
        <v>62</v>
      </c>
      <c r="B18" s="3">
        <v>45354</v>
      </c>
      <c r="C18" s="2" t="s">
        <v>11</v>
      </c>
      <c r="D18" s="2" t="s">
        <v>30</v>
      </c>
      <c r="E18" s="2" t="s">
        <v>50</v>
      </c>
      <c r="F18" s="2" t="s">
        <v>25</v>
      </c>
      <c r="G18" s="2" t="s">
        <v>26</v>
      </c>
      <c r="H18" s="2" t="s">
        <v>16</v>
      </c>
      <c r="I18" s="2" t="s">
        <v>22</v>
      </c>
      <c r="J18" s="2">
        <v>4</v>
      </c>
    </row>
    <row r="19" spans="1:10" x14ac:dyDescent="0.2">
      <c r="A19" s="2" t="s">
        <v>63</v>
      </c>
      <c r="B19" s="3">
        <v>45359</v>
      </c>
      <c r="C19" s="2" t="s">
        <v>64</v>
      </c>
      <c r="D19" s="2" t="s">
        <v>12</v>
      </c>
      <c r="E19" s="2" t="s">
        <v>38</v>
      </c>
      <c r="F19" s="2" t="s">
        <v>25</v>
      </c>
      <c r="G19" s="2" t="s">
        <v>26</v>
      </c>
      <c r="H19" s="2" t="s">
        <v>16</v>
      </c>
      <c r="I19" s="2" t="s">
        <v>32</v>
      </c>
      <c r="J19" s="2">
        <v>3</v>
      </c>
    </row>
    <row r="20" spans="1:10" x14ac:dyDescent="0.2">
      <c r="A20" s="2" t="s">
        <v>65</v>
      </c>
      <c r="B20" s="3">
        <v>45469</v>
      </c>
      <c r="C20" s="2" t="s">
        <v>43</v>
      </c>
      <c r="D20" s="2" t="s">
        <v>12</v>
      </c>
      <c r="E20" s="2" t="s">
        <v>50</v>
      </c>
      <c r="F20" s="2" t="s">
        <v>39</v>
      </c>
      <c r="G20" s="2" t="s">
        <v>46</v>
      </c>
      <c r="H20" s="2" t="s">
        <v>51</v>
      </c>
      <c r="I20" s="2" t="s">
        <v>41</v>
      </c>
      <c r="J20" s="2">
        <v>4</v>
      </c>
    </row>
    <row r="21" spans="1:10" x14ac:dyDescent="0.2">
      <c r="A21" s="2" t="s">
        <v>66</v>
      </c>
      <c r="B21" s="3">
        <v>45317</v>
      </c>
      <c r="C21" s="2" t="s">
        <v>43</v>
      </c>
      <c r="D21" s="2" t="s">
        <v>30</v>
      </c>
      <c r="E21" s="2" t="s">
        <v>24</v>
      </c>
      <c r="F21" s="2" t="s">
        <v>39</v>
      </c>
      <c r="G21" s="2" t="s">
        <v>21</v>
      </c>
      <c r="H21" s="2" t="s">
        <v>16</v>
      </c>
      <c r="I21" s="2" t="s">
        <v>32</v>
      </c>
      <c r="J21" s="2">
        <v>5</v>
      </c>
    </row>
    <row r="22" spans="1:10" x14ac:dyDescent="0.2">
      <c r="A22" s="2" t="s">
        <v>67</v>
      </c>
      <c r="B22" s="3">
        <v>45327</v>
      </c>
      <c r="C22" s="2" t="s">
        <v>29</v>
      </c>
      <c r="D22" s="2" t="s">
        <v>35</v>
      </c>
      <c r="E22" s="2" t="s">
        <v>50</v>
      </c>
      <c r="F22" s="2" t="s">
        <v>25</v>
      </c>
      <c r="G22" s="2" t="s">
        <v>21</v>
      </c>
      <c r="H22" s="2" t="s">
        <v>40</v>
      </c>
      <c r="I22" s="2" t="s">
        <v>22</v>
      </c>
      <c r="J22" s="2">
        <v>5</v>
      </c>
    </row>
    <row r="23" spans="1:10" x14ac:dyDescent="0.2">
      <c r="A23" s="2" t="s">
        <v>68</v>
      </c>
      <c r="B23" s="3">
        <v>45450</v>
      </c>
      <c r="C23" s="2" t="s">
        <v>11</v>
      </c>
      <c r="D23" s="2" t="s">
        <v>53</v>
      </c>
      <c r="E23" s="2" t="s">
        <v>31</v>
      </c>
      <c r="F23" s="2" t="s">
        <v>20</v>
      </c>
      <c r="G23" s="2" t="s">
        <v>26</v>
      </c>
      <c r="H23" s="2" t="s">
        <v>27</v>
      </c>
      <c r="I23" s="2" t="s">
        <v>36</v>
      </c>
      <c r="J23" s="2">
        <v>4</v>
      </c>
    </row>
    <row r="24" spans="1:10" x14ac:dyDescent="0.2">
      <c r="A24" s="2" t="s">
        <v>69</v>
      </c>
      <c r="B24" s="3">
        <v>45378</v>
      </c>
      <c r="C24" s="2" t="s">
        <v>58</v>
      </c>
      <c r="D24" s="2" t="s">
        <v>30</v>
      </c>
      <c r="E24" s="2" t="s">
        <v>24</v>
      </c>
      <c r="F24" s="2" t="s">
        <v>39</v>
      </c>
      <c r="G24" s="2" t="s">
        <v>26</v>
      </c>
      <c r="H24" s="2" t="s">
        <v>51</v>
      </c>
      <c r="I24" s="2" t="s">
        <v>36</v>
      </c>
      <c r="J24" s="2">
        <v>4</v>
      </c>
    </row>
    <row r="25" spans="1:10" x14ac:dyDescent="0.2">
      <c r="A25" s="2" t="s">
        <v>70</v>
      </c>
      <c r="B25" s="3">
        <v>45346</v>
      </c>
      <c r="C25" s="2" t="s">
        <v>19</v>
      </c>
      <c r="D25" s="2" t="s">
        <v>53</v>
      </c>
      <c r="E25" s="2" t="s">
        <v>31</v>
      </c>
      <c r="F25" s="2" t="s">
        <v>39</v>
      </c>
      <c r="G25" s="2" t="s">
        <v>15</v>
      </c>
      <c r="H25" s="2" t="s">
        <v>16</v>
      </c>
      <c r="I25" s="2" t="s">
        <v>17</v>
      </c>
      <c r="J25" s="2">
        <v>0</v>
      </c>
    </row>
    <row r="26" spans="1:10" x14ac:dyDescent="0.2">
      <c r="A26" s="2" t="s">
        <v>71</v>
      </c>
      <c r="B26" s="3">
        <v>45447</v>
      </c>
      <c r="C26" s="2" t="s">
        <v>43</v>
      </c>
      <c r="D26" s="2" t="s">
        <v>35</v>
      </c>
      <c r="E26" s="2" t="s">
        <v>50</v>
      </c>
      <c r="F26" s="2" t="s">
        <v>39</v>
      </c>
      <c r="G26" s="2" t="s">
        <v>21</v>
      </c>
      <c r="H26" s="2" t="s">
        <v>27</v>
      </c>
      <c r="I26" s="2" t="s">
        <v>41</v>
      </c>
      <c r="J26" s="2">
        <v>1</v>
      </c>
    </row>
    <row r="27" spans="1:10" x14ac:dyDescent="0.2">
      <c r="A27" s="2" t="s">
        <v>72</v>
      </c>
      <c r="B27" s="3">
        <v>45442</v>
      </c>
      <c r="C27" s="2" t="s">
        <v>29</v>
      </c>
      <c r="D27" s="2" t="s">
        <v>30</v>
      </c>
      <c r="E27" s="2" t="s">
        <v>59</v>
      </c>
      <c r="F27" s="2" t="s">
        <v>14</v>
      </c>
      <c r="G27" s="2" t="s">
        <v>21</v>
      </c>
      <c r="H27" s="2" t="s">
        <v>16</v>
      </c>
      <c r="I27" s="2" t="s">
        <v>36</v>
      </c>
      <c r="J27" s="2">
        <v>0</v>
      </c>
    </row>
    <row r="28" spans="1:10" x14ac:dyDescent="0.2">
      <c r="A28" s="2" t="s">
        <v>73</v>
      </c>
      <c r="B28" s="3">
        <v>45386</v>
      </c>
      <c r="C28" s="2" t="s">
        <v>11</v>
      </c>
      <c r="D28" s="2" t="s">
        <v>55</v>
      </c>
      <c r="E28" s="2" t="s">
        <v>38</v>
      </c>
      <c r="F28" s="2" t="s">
        <v>25</v>
      </c>
      <c r="G28" s="2" t="s">
        <v>46</v>
      </c>
      <c r="H28" s="2" t="s">
        <v>27</v>
      </c>
      <c r="I28" s="2" t="s">
        <v>17</v>
      </c>
      <c r="J28" s="2">
        <v>0</v>
      </c>
    </row>
    <row r="29" spans="1:10" x14ac:dyDescent="0.2">
      <c r="A29" s="2" t="s">
        <v>74</v>
      </c>
      <c r="B29" s="3">
        <v>45422</v>
      </c>
      <c r="C29" s="2" t="s">
        <v>11</v>
      </c>
      <c r="D29" s="2" t="s">
        <v>12</v>
      </c>
      <c r="E29" s="2" t="s">
        <v>24</v>
      </c>
      <c r="F29" s="2" t="s">
        <v>20</v>
      </c>
      <c r="G29" s="2" t="s">
        <v>15</v>
      </c>
      <c r="H29" s="2" t="s">
        <v>51</v>
      </c>
      <c r="I29" s="2" t="s">
        <v>32</v>
      </c>
      <c r="J29" s="2">
        <v>4</v>
      </c>
    </row>
    <row r="30" spans="1:10" x14ac:dyDescent="0.2">
      <c r="A30" s="2" t="s">
        <v>75</v>
      </c>
      <c r="B30" s="3">
        <v>45353</v>
      </c>
      <c r="C30" s="2" t="s">
        <v>58</v>
      </c>
      <c r="D30" s="2" t="s">
        <v>35</v>
      </c>
      <c r="E30" s="2" t="s">
        <v>13</v>
      </c>
      <c r="F30" s="2" t="s">
        <v>39</v>
      </c>
      <c r="G30" s="2" t="s">
        <v>21</v>
      </c>
      <c r="H30" s="2" t="s">
        <v>51</v>
      </c>
      <c r="I30" s="2" t="s">
        <v>36</v>
      </c>
      <c r="J30" s="2">
        <v>4</v>
      </c>
    </row>
    <row r="31" spans="1:10" x14ac:dyDescent="0.2">
      <c r="A31" s="2" t="s">
        <v>76</v>
      </c>
      <c r="B31" s="3">
        <v>45398</v>
      </c>
      <c r="C31" s="2" t="s">
        <v>29</v>
      </c>
      <c r="D31" s="2" t="s">
        <v>55</v>
      </c>
      <c r="E31" s="2" t="s">
        <v>38</v>
      </c>
      <c r="F31" s="2" t="s">
        <v>20</v>
      </c>
      <c r="G31" s="2" t="s">
        <v>26</v>
      </c>
      <c r="H31" s="2" t="s">
        <v>51</v>
      </c>
      <c r="I31" s="2" t="s">
        <v>22</v>
      </c>
      <c r="J31" s="2">
        <v>0</v>
      </c>
    </row>
    <row r="32" spans="1:10" x14ac:dyDescent="0.2">
      <c r="A32" s="2" t="s">
        <v>77</v>
      </c>
      <c r="B32" s="3">
        <v>45452</v>
      </c>
      <c r="C32" s="2" t="s">
        <v>64</v>
      </c>
      <c r="D32" s="2" t="s">
        <v>53</v>
      </c>
      <c r="E32" s="2" t="s">
        <v>50</v>
      </c>
      <c r="F32" s="2" t="s">
        <v>39</v>
      </c>
      <c r="G32" s="2" t="s">
        <v>46</v>
      </c>
      <c r="H32" s="2" t="s">
        <v>51</v>
      </c>
      <c r="I32" s="2" t="s">
        <v>17</v>
      </c>
      <c r="J32" s="2">
        <v>5</v>
      </c>
    </row>
    <row r="33" spans="1:10" x14ac:dyDescent="0.2">
      <c r="A33" s="2" t="s">
        <v>78</v>
      </c>
      <c r="B33" s="3">
        <v>45347</v>
      </c>
      <c r="C33" s="2" t="s">
        <v>58</v>
      </c>
      <c r="D33" s="2" t="s">
        <v>55</v>
      </c>
      <c r="E33" s="2" t="s">
        <v>13</v>
      </c>
      <c r="F33" s="2" t="s">
        <v>39</v>
      </c>
      <c r="G33" s="2" t="s">
        <v>21</v>
      </c>
      <c r="H33" s="2" t="s">
        <v>27</v>
      </c>
      <c r="I33" s="2" t="s">
        <v>41</v>
      </c>
      <c r="J33" s="2">
        <v>2</v>
      </c>
    </row>
    <row r="34" spans="1:10" x14ac:dyDescent="0.2">
      <c r="A34" s="2" t="s">
        <v>79</v>
      </c>
      <c r="B34" s="3">
        <v>45467</v>
      </c>
      <c r="C34" s="2" t="s">
        <v>29</v>
      </c>
      <c r="D34" s="2" t="s">
        <v>53</v>
      </c>
      <c r="E34" s="2" t="s">
        <v>13</v>
      </c>
      <c r="F34" s="2" t="s">
        <v>25</v>
      </c>
      <c r="G34" s="2" t="s">
        <v>21</v>
      </c>
      <c r="H34" s="2" t="s">
        <v>27</v>
      </c>
      <c r="I34" s="2" t="s">
        <v>22</v>
      </c>
      <c r="J34" s="2">
        <v>1</v>
      </c>
    </row>
    <row r="35" spans="1:10" x14ac:dyDescent="0.2">
      <c r="A35" s="2" t="s">
        <v>80</v>
      </c>
      <c r="B35" s="3">
        <v>45403</v>
      </c>
      <c r="C35" s="2" t="s">
        <v>64</v>
      </c>
      <c r="D35" s="2" t="s">
        <v>35</v>
      </c>
      <c r="E35" s="2" t="s">
        <v>24</v>
      </c>
      <c r="F35" s="2" t="s">
        <v>14</v>
      </c>
      <c r="G35" s="2" t="s">
        <v>26</v>
      </c>
      <c r="H35" s="2" t="s">
        <v>40</v>
      </c>
      <c r="I35" s="2" t="s">
        <v>41</v>
      </c>
      <c r="J35" s="2">
        <v>1</v>
      </c>
    </row>
    <row r="36" spans="1:10" x14ac:dyDescent="0.2">
      <c r="A36" s="2" t="s">
        <v>81</v>
      </c>
      <c r="B36" s="3">
        <v>45293</v>
      </c>
      <c r="C36" s="2" t="s">
        <v>19</v>
      </c>
      <c r="D36" s="2" t="s">
        <v>12</v>
      </c>
      <c r="E36" s="2" t="s">
        <v>31</v>
      </c>
      <c r="F36" s="2" t="s">
        <v>14</v>
      </c>
      <c r="G36" s="2" t="s">
        <v>46</v>
      </c>
      <c r="H36" s="2" t="s">
        <v>51</v>
      </c>
      <c r="I36" s="2" t="s">
        <v>44</v>
      </c>
      <c r="J36" s="2">
        <v>3</v>
      </c>
    </row>
    <row r="37" spans="1:10" x14ac:dyDescent="0.2">
      <c r="A37" s="2" t="s">
        <v>82</v>
      </c>
      <c r="B37" s="3">
        <v>45436</v>
      </c>
      <c r="C37" s="2" t="s">
        <v>64</v>
      </c>
      <c r="D37" s="2" t="s">
        <v>35</v>
      </c>
      <c r="E37" s="2" t="s">
        <v>13</v>
      </c>
      <c r="F37" s="2" t="s">
        <v>14</v>
      </c>
      <c r="G37" s="2" t="s">
        <v>46</v>
      </c>
      <c r="H37" s="2" t="s">
        <v>16</v>
      </c>
      <c r="I37" s="2" t="s">
        <v>22</v>
      </c>
      <c r="J37" s="2">
        <v>4</v>
      </c>
    </row>
    <row r="38" spans="1:10" x14ac:dyDescent="0.2">
      <c r="A38" s="2" t="s">
        <v>83</v>
      </c>
      <c r="B38" s="3">
        <v>45317</v>
      </c>
      <c r="C38" s="2" t="s">
        <v>49</v>
      </c>
      <c r="D38" s="2" t="s">
        <v>53</v>
      </c>
      <c r="E38" s="2" t="s">
        <v>50</v>
      </c>
      <c r="F38" s="2" t="s">
        <v>14</v>
      </c>
      <c r="G38" s="2" t="s">
        <v>26</v>
      </c>
      <c r="H38" s="2" t="s">
        <v>40</v>
      </c>
      <c r="I38" s="2" t="s">
        <v>17</v>
      </c>
      <c r="J38" s="2">
        <v>5</v>
      </c>
    </row>
    <row r="39" spans="1:10" x14ac:dyDescent="0.2">
      <c r="A39" s="2" t="s">
        <v>84</v>
      </c>
      <c r="B39" s="3">
        <v>45314</v>
      </c>
      <c r="C39" s="2" t="s">
        <v>34</v>
      </c>
      <c r="D39" s="2" t="s">
        <v>12</v>
      </c>
      <c r="E39" s="2" t="s">
        <v>13</v>
      </c>
      <c r="F39" s="2" t="s">
        <v>25</v>
      </c>
      <c r="G39" s="2" t="s">
        <v>26</v>
      </c>
      <c r="H39" s="2" t="s">
        <v>51</v>
      </c>
      <c r="I39" s="2" t="s">
        <v>44</v>
      </c>
      <c r="J39" s="2">
        <v>0</v>
      </c>
    </row>
    <row r="40" spans="1:10" x14ac:dyDescent="0.2">
      <c r="A40" s="2" t="s">
        <v>85</v>
      </c>
      <c r="B40" s="3">
        <v>45408</v>
      </c>
      <c r="C40" s="2" t="s">
        <v>29</v>
      </c>
      <c r="D40" s="2" t="s">
        <v>35</v>
      </c>
      <c r="E40" s="2" t="s">
        <v>38</v>
      </c>
      <c r="F40" s="2" t="s">
        <v>20</v>
      </c>
      <c r="G40" s="2" t="s">
        <v>26</v>
      </c>
      <c r="H40" s="2" t="s">
        <v>27</v>
      </c>
      <c r="I40" s="2" t="s">
        <v>44</v>
      </c>
      <c r="J40" s="2">
        <v>2</v>
      </c>
    </row>
    <row r="41" spans="1:10" x14ac:dyDescent="0.2">
      <c r="A41" s="2" t="s">
        <v>86</v>
      </c>
      <c r="B41" s="3">
        <v>45365</v>
      </c>
      <c r="C41" s="2" t="s">
        <v>11</v>
      </c>
      <c r="D41" s="2" t="s">
        <v>12</v>
      </c>
      <c r="E41" s="2" t="s">
        <v>13</v>
      </c>
      <c r="F41" s="2" t="s">
        <v>39</v>
      </c>
      <c r="G41" s="2" t="s">
        <v>21</v>
      </c>
      <c r="H41" s="2" t="s">
        <v>27</v>
      </c>
      <c r="I41" s="2" t="s">
        <v>36</v>
      </c>
      <c r="J41" s="2">
        <v>1</v>
      </c>
    </row>
    <row r="42" spans="1:10" x14ac:dyDescent="0.2">
      <c r="A42" s="2" t="s">
        <v>87</v>
      </c>
      <c r="B42" s="3">
        <v>45301</v>
      </c>
      <c r="C42" s="2" t="s">
        <v>11</v>
      </c>
      <c r="D42" s="2" t="s">
        <v>35</v>
      </c>
      <c r="E42" s="2" t="s">
        <v>13</v>
      </c>
      <c r="F42" s="2" t="s">
        <v>14</v>
      </c>
      <c r="G42" s="2" t="s">
        <v>46</v>
      </c>
      <c r="H42" s="2" t="s">
        <v>40</v>
      </c>
      <c r="I42" s="2" t="s">
        <v>32</v>
      </c>
      <c r="J42" s="2">
        <v>4</v>
      </c>
    </row>
    <row r="43" spans="1:10" x14ac:dyDescent="0.2">
      <c r="A43" s="2" t="s">
        <v>88</v>
      </c>
      <c r="B43" s="3">
        <v>45410</v>
      </c>
      <c r="C43" s="2" t="s">
        <v>19</v>
      </c>
      <c r="D43" s="2" t="s">
        <v>30</v>
      </c>
      <c r="E43" s="2" t="s">
        <v>38</v>
      </c>
      <c r="F43" s="2" t="s">
        <v>20</v>
      </c>
      <c r="G43" s="2" t="s">
        <v>26</v>
      </c>
      <c r="H43" s="2" t="s">
        <v>40</v>
      </c>
      <c r="I43" s="2" t="s">
        <v>44</v>
      </c>
      <c r="J43" s="2">
        <v>2</v>
      </c>
    </row>
    <row r="44" spans="1:10" x14ac:dyDescent="0.2">
      <c r="A44" s="2" t="s">
        <v>89</v>
      </c>
      <c r="B44" s="3">
        <v>45314</v>
      </c>
      <c r="C44" s="2" t="s">
        <v>34</v>
      </c>
      <c r="D44" s="2" t="s">
        <v>12</v>
      </c>
      <c r="E44" s="2" t="s">
        <v>24</v>
      </c>
      <c r="F44" s="2" t="s">
        <v>25</v>
      </c>
      <c r="G44" s="2" t="s">
        <v>26</v>
      </c>
      <c r="H44" s="2" t="s">
        <v>40</v>
      </c>
      <c r="I44" s="2" t="s">
        <v>32</v>
      </c>
      <c r="J44" s="2">
        <v>2</v>
      </c>
    </row>
    <row r="45" spans="1:10" x14ac:dyDescent="0.2">
      <c r="A45" s="2" t="s">
        <v>90</v>
      </c>
      <c r="B45" s="3">
        <v>45370</v>
      </c>
      <c r="C45" s="2" t="s">
        <v>11</v>
      </c>
      <c r="D45" s="2" t="s">
        <v>35</v>
      </c>
      <c r="E45" s="2" t="s">
        <v>38</v>
      </c>
      <c r="F45" s="2" t="s">
        <v>25</v>
      </c>
      <c r="G45" s="2" t="s">
        <v>46</v>
      </c>
      <c r="H45" s="2" t="s">
        <v>27</v>
      </c>
      <c r="I45" s="2" t="s">
        <v>36</v>
      </c>
      <c r="J45" s="2">
        <v>4</v>
      </c>
    </row>
    <row r="46" spans="1:10" x14ac:dyDescent="0.2">
      <c r="A46" s="2" t="s">
        <v>91</v>
      </c>
      <c r="B46" s="3">
        <v>45371</v>
      </c>
      <c r="C46" s="2" t="s">
        <v>11</v>
      </c>
      <c r="D46" s="2" t="s">
        <v>12</v>
      </c>
      <c r="E46" s="2" t="s">
        <v>59</v>
      </c>
      <c r="F46" s="2" t="s">
        <v>14</v>
      </c>
      <c r="G46" s="2" t="s">
        <v>46</v>
      </c>
      <c r="H46" s="2" t="s">
        <v>51</v>
      </c>
      <c r="I46" s="2" t="s">
        <v>32</v>
      </c>
      <c r="J46" s="2">
        <v>3</v>
      </c>
    </row>
    <row r="47" spans="1:10" x14ac:dyDescent="0.2">
      <c r="A47" s="2" t="s">
        <v>92</v>
      </c>
      <c r="B47" s="3">
        <v>45417</v>
      </c>
      <c r="C47" s="2" t="s">
        <v>19</v>
      </c>
      <c r="D47" s="2" t="s">
        <v>35</v>
      </c>
      <c r="E47" s="2" t="s">
        <v>50</v>
      </c>
      <c r="F47" s="2" t="s">
        <v>39</v>
      </c>
      <c r="G47" s="2" t="s">
        <v>15</v>
      </c>
      <c r="H47" s="2" t="s">
        <v>40</v>
      </c>
      <c r="I47" s="2" t="s">
        <v>44</v>
      </c>
      <c r="J47" s="2">
        <v>0</v>
      </c>
    </row>
    <row r="48" spans="1:10" x14ac:dyDescent="0.2">
      <c r="A48" s="2" t="s">
        <v>93</v>
      </c>
      <c r="B48" s="3">
        <v>45402</v>
      </c>
      <c r="C48" s="2" t="s">
        <v>11</v>
      </c>
      <c r="D48" s="2" t="s">
        <v>12</v>
      </c>
      <c r="E48" s="2" t="s">
        <v>38</v>
      </c>
      <c r="F48" s="2" t="s">
        <v>20</v>
      </c>
      <c r="G48" s="2" t="s">
        <v>15</v>
      </c>
      <c r="H48" s="2" t="s">
        <v>51</v>
      </c>
      <c r="I48" s="2" t="s">
        <v>17</v>
      </c>
      <c r="J48" s="2">
        <v>1</v>
      </c>
    </row>
    <row r="49" spans="1:10" x14ac:dyDescent="0.2">
      <c r="A49" s="2" t="s">
        <v>94</v>
      </c>
      <c r="B49" s="3">
        <v>45466</v>
      </c>
      <c r="C49" s="2" t="s">
        <v>58</v>
      </c>
      <c r="D49" s="2" t="s">
        <v>35</v>
      </c>
      <c r="E49" s="2" t="s">
        <v>50</v>
      </c>
      <c r="F49" s="2" t="s">
        <v>39</v>
      </c>
      <c r="G49" s="2" t="s">
        <v>46</v>
      </c>
      <c r="H49" s="2" t="s">
        <v>27</v>
      </c>
      <c r="I49" s="2" t="s">
        <v>41</v>
      </c>
      <c r="J49" s="2">
        <v>0</v>
      </c>
    </row>
    <row r="50" spans="1:10" x14ac:dyDescent="0.2">
      <c r="A50" s="2" t="s">
        <v>95</v>
      </c>
      <c r="B50" s="3">
        <v>45369</v>
      </c>
      <c r="C50" s="2" t="s">
        <v>64</v>
      </c>
      <c r="D50" s="2" t="s">
        <v>30</v>
      </c>
      <c r="E50" s="2" t="s">
        <v>50</v>
      </c>
      <c r="F50" s="2" t="s">
        <v>14</v>
      </c>
      <c r="G50" s="2" t="s">
        <v>15</v>
      </c>
      <c r="H50" s="2" t="s">
        <v>16</v>
      </c>
      <c r="I50" s="2" t="s">
        <v>36</v>
      </c>
      <c r="J50" s="2">
        <v>5</v>
      </c>
    </row>
    <row r="51" spans="1:10" x14ac:dyDescent="0.2">
      <c r="A51" s="2" t="s">
        <v>96</v>
      </c>
      <c r="B51" s="3">
        <v>45436</v>
      </c>
      <c r="C51" s="2" t="s">
        <v>34</v>
      </c>
      <c r="D51" s="2" t="s">
        <v>55</v>
      </c>
      <c r="E51" s="2" t="s">
        <v>31</v>
      </c>
      <c r="F51" s="2" t="s">
        <v>20</v>
      </c>
      <c r="G51" s="2" t="s">
        <v>21</v>
      </c>
      <c r="H51" s="2" t="s">
        <v>40</v>
      </c>
      <c r="I51" s="2" t="s">
        <v>44</v>
      </c>
      <c r="J51" s="2">
        <v>2</v>
      </c>
    </row>
    <row r="52" spans="1:10" x14ac:dyDescent="0.2">
      <c r="A52" s="2" t="s">
        <v>97</v>
      </c>
      <c r="B52" s="3">
        <v>45383</v>
      </c>
      <c r="C52" s="2" t="s">
        <v>49</v>
      </c>
      <c r="D52" s="2" t="s">
        <v>30</v>
      </c>
      <c r="E52" s="2" t="s">
        <v>24</v>
      </c>
      <c r="F52" s="2" t="s">
        <v>25</v>
      </c>
      <c r="G52" s="2" t="s">
        <v>15</v>
      </c>
      <c r="H52" s="2" t="s">
        <v>16</v>
      </c>
      <c r="I52" s="2" t="s">
        <v>41</v>
      </c>
      <c r="J52" s="2">
        <v>0</v>
      </c>
    </row>
    <row r="53" spans="1:10" x14ac:dyDescent="0.2">
      <c r="A53" s="2" t="s">
        <v>98</v>
      </c>
      <c r="B53" s="3">
        <v>45347</v>
      </c>
      <c r="C53" s="2" t="s">
        <v>43</v>
      </c>
      <c r="D53" s="2" t="s">
        <v>35</v>
      </c>
      <c r="E53" s="2" t="s">
        <v>31</v>
      </c>
      <c r="F53" s="2" t="s">
        <v>20</v>
      </c>
      <c r="G53" s="2" t="s">
        <v>21</v>
      </c>
      <c r="H53" s="2" t="s">
        <v>51</v>
      </c>
      <c r="I53" s="2" t="s">
        <v>36</v>
      </c>
      <c r="J53" s="2">
        <v>2</v>
      </c>
    </row>
    <row r="54" spans="1:10" x14ac:dyDescent="0.2">
      <c r="A54" s="2" t="s">
        <v>99</v>
      </c>
      <c r="B54" s="3">
        <v>45311</v>
      </c>
      <c r="C54" s="2" t="s">
        <v>64</v>
      </c>
      <c r="D54" s="2" t="s">
        <v>55</v>
      </c>
      <c r="E54" s="2" t="s">
        <v>38</v>
      </c>
      <c r="F54" s="2" t="s">
        <v>25</v>
      </c>
      <c r="G54" s="2" t="s">
        <v>26</v>
      </c>
      <c r="H54" s="2" t="s">
        <v>16</v>
      </c>
      <c r="I54" s="2" t="s">
        <v>41</v>
      </c>
      <c r="J54" s="2">
        <v>3</v>
      </c>
    </row>
    <row r="55" spans="1:10" x14ac:dyDescent="0.2">
      <c r="A55" s="2" t="s">
        <v>100</v>
      </c>
      <c r="B55" s="3">
        <v>45345</v>
      </c>
      <c r="C55" s="2" t="s">
        <v>11</v>
      </c>
      <c r="D55" s="2" t="s">
        <v>35</v>
      </c>
      <c r="E55" s="2" t="s">
        <v>31</v>
      </c>
      <c r="F55" s="2" t="s">
        <v>25</v>
      </c>
      <c r="G55" s="2" t="s">
        <v>15</v>
      </c>
      <c r="H55" s="2" t="s">
        <v>51</v>
      </c>
      <c r="I55" s="2" t="s">
        <v>41</v>
      </c>
      <c r="J55" s="2">
        <v>5</v>
      </c>
    </row>
    <row r="56" spans="1:10" x14ac:dyDescent="0.2">
      <c r="A56" s="2" t="s">
        <v>101</v>
      </c>
      <c r="B56" s="3">
        <v>45433</v>
      </c>
      <c r="C56" s="2" t="s">
        <v>11</v>
      </c>
      <c r="D56" s="2" t="s">
        <v>12</v>
      </c>
      <c r="E56" s="2" t="s">
        <v>13</v>
      </c>
      <c r="F56" s="2" t="s">
        <v>14</v>
      </c>
      <c r="G56" s="2" t="s">
        <v>21</v>
      </c>
      <c r="H56" s="2" t="s">
        <v>16</v>
      </c>
      <c r="I56" s="2" t="s">
        <v>32</v>
      </c>
      <c r="J56" s="2">
        <v>4</v>
      </c>
    </row>
    <row r="57" spans="1:10" x14ac:dyDescent="0.2">
      <c r="A57" s="2" t="s">
        <v>102</v>
      </c>
      <c r="B57" s="3">
        <v>45374</v>
      </c>
      <c r="C57" s="2" t="s">
        <v>34</v>
      </c>
      <c r="D57" s="2" t="s">
        <v>12</v>
      </c>
      <c r="E57" s="2" t="s">
        <v>59</v>
      </c>
      <c r="F57" s="2" t="s">
        <v>20</v>
      </c>
      <c r="G57" s="2" t="s">
        <v>26</v>
      </c>
      <c r="H57" s="2" t="s">
        <v>16</v>
      </c>
      <c r="I57" s="2" t="s">
        <v>41</v>
      </c>
      <c r="J57" s="2">
        <v>3</v>
      </c>
    </row>
    <row r="58" spans="1:10" x14ac:dyDescent="0.2">
      <c r="A58" s="2" t="s">
        <v>103</v>
      </c>
      <c r="B58" s="3">
        <v>45433</v>
      </c>
      <c r="C58" s="2" t="s">
        <v>34</v>
      </c>
      <c r="D58" s="2" t="s">
        <v>12</v>
      </c>
      <c r="E58" s="2" t="s">
        <v>59</v>
      </c>
      <c r="F58" s="2" t="s">
        <v>25</v>
      </c>
      <c r="G58" s="2" t="s">
        <v>26</v>
      </c>
      <c r="H58" s="2" t="s">
        <v>40</v>
      </c>
      <c r="I58" s="2" t="s">
        <v>44</v>
      </c>
      <c r="J58" s="2">
        <v>5</v>
      </c>
    </row>
    <row r="59" spans="1:10" x14ac:dyDescent="0.2">
      <c r="A59" s="2" t="s">
        <v>104</v>
      </c>
      <c r="B59" s="3">
        <v>45367</v>
      </c>
      <c r="C59" s="2" t="s">
        <v>11</v>
      </c>
      <c r="D59" s="2" t="s">
        <v>30</v>
      </c>
      <c r="E59" s="2" t="s">
        <v>13</v>
      </c>
      <c r="F59" s="2" t="s">
        <v>20</v>
      </c>
      <c r="G59" s="2" t="s">
        <v>46</v>
      </c>
      <c r="H59" s="2" t="s">
        <v>40</v>
      </c>
      <c r="I59" s="2" t="s">
        <v>32</v>
      </c>
      <c r="J59" s="2">
        <v>2</v>
      </c>
    </row>
    <row r="60" spans="1:10" x14ac:dyDescent="0.2">
      <c r="A60" s="2" t="s">
        <v>105</v>
      </c>
      <c r="B60" s="3">
        <v>45317</v>
      </c>
      <c r="C60" s="2" t="s">
        <v>19</v>
      </c>
      <c r="D60" s="2" t="s">
        <v>30</v>
      </c>
      <c r="E60" s="2" t="s">
        <v>38</v>
      </c>
      <c r="F60" s="2" t="s">
        <v>20</v>
      </c>
      <c r="G60" s="2" t="s">
        <v>26</v>
      </c>
      <c r="H60" s="2" t="s">
        <v>27</v>
      </c>
      <c r="I60" s="2" t="s">
        <v>44</v>
      </c>
      <c r="J60" s="2">
        <v>4</v>
      </c>
    </row>
    <row r="61" spans="1:10" x14ac:dyDescent="0.2">
      <c r="A61" s="2" t="s">
        <v>106</v>
      </c>
      <c r="B61" s="3">
        <v>45426</v>
      </c>
      <c r="C61" s="2" t="s">
        <v>29</v>
      </c>
      <c r="D61" s="2" t="s">
        <v>12</v>
      </c>
      <c r="E61" s="2" t="s">
        <v>38</v>
      </c>
      <c r="F61" s="2" t="s">
        <v>39</v>
      </c>
      <c r="G61" s="2" t="s">
        <v>15</v>
      </c>
      <c r="H61" s="2" t="s">
        <v>27</v>
      </c>
      <c r="I61" s="2" t="s">
        <v>41</v>
      </c>
      <c r="J61" s="2">
        <v>2</v>
      </c>
    </row>
    <row r="62" spans="1:10" x14ac:dyDescent="0.2">
      <c r="A62" s="2" t="s">
        <v>107</v>
      </c>
      <c r="B62" s="3">
        <v>45423</v>
      </c>
      <c r="C62" s="2" t="s">
        <v>11</v>
      </c>
      <c r="D62" s="2" t="s">
        <v>35</v>
      </c>
      <c r="E62" s="2" t="s">
        <v>24</v>
      </c>
      <c r="F62" s="2" t="s">
        <v>20</v>
      </c>
      <c r="G62" s="2" t="s">
        <v>26</v>
      </c>
      <c r="H62" s="2" t="s">
        <v>27</v>
      </c>
      <c r="I62" s="2" t="s">
        <v>32</v>
      </c>
      <c r="J62" s="2">
        <v>5</v>
      </c>
    </row>
    <row r="63" spans="1:10" x14ac:dyDescent="0.2">
      <c r="A63" s="2" t="s">
        <v>108</v>
      </c>
      <c r="B63" s="3">
        <v>45355</v>
      </c>
      <c r="C63" s="2" t="s">
        <v>19</v>
      </c>
      <c r="D63" s="2" t="s">
        <v>30</v>
      </c>
      <c r="E63" s="2" t="s">
        <v>50</v>
      </c>
      <c r="F63" s="2" t="s">
        <v>20</v>
      </c>
      <c r="G63" s="2" t="s">
        <v>21</v>
      </c>
      <c r="H63" s="2" t="s">
        <v>40</v>
      </c>
      <c r="I63" s="2" t="s">
        <v>44</v>
      </c>
      <c r="J63" s="2">
        <v>5</v>
      </c>
    </row>
    <row r="64" spans="1:10" x14ac:dyDescent="0.2">
      <c r="A64" s="2" t="s">
        <v>109</v>
      </c>
      <c r="B64" s="3">
        <v>45453</v>
      </c>
      <c r="C64" s="2" t="s">
        <v>58</v>
      </c>
      <c r="D64" s="2" t="s">
        <v>35</v>
      </c>
      <c r="E64" s="2" t="s">
        <v>13</v>
      </c>
      <c r="F64" s="2" t="s">
        <v>14</v>
      </c>
      <c r="G64" s="2" t="s">
        <v>26</v>
      </c>
      <c r="H64" s="2" t="s">
        <v>51</v>
      </c>
      <c r="I64" s="2" t="s">
        <v>32</v>
      </c>
      <c r="J64" s="2">
        <v>1</v>
      </c>
    </row>
    <row r="65" spans="1:10" x14ac:dyDescent="0.2">
      <c r="A65" s="2" t="s">
        <v>110</v>
      </c>
      <c r="B65" s="3">
        <v>45301</v>
      </c>
      <c r="C65" s="2" t="s">
        <v>64</v>
      </c>
      <c r="D65" s="2" t="s">
        <v>12</v>
      </c>
      <c r="E65" s="2" t="s">
        <v>59</v>
      </c>
      <c r="F65" s="2" t="s">
        <v>39</v>
      </c>
      <c r="G65" s="2" t="s">
        <v>26</v>
      </c>
      <c r="H65" s="2" t="s">
        <v>51</v>
      </c>
      <c r="I65" s="2" t="s">
        <v>44</v>
      </c>
      <c r="J65" s="2">
        <v>4</v>
      </c>
    </row>
    <row r="66" spans="1:10" x14ac:dyDescent="0.2">
      <c r="A66" s="2" t="s">
        <v>111</v>
      </c>
      <c r="B66" s="3">
        <v>45360</v>
      </c>
      <c r="C66" s="2" t="s">
        <v>29</v>
      </c>
      <c r="D66" s="2" t="s">
        <v>55</v>
      </c>
      <c r="E66" s="2" t="s">
        <v>13</v>
      </c>
      <c r="F66" s="2" t="s">
        <v>25</v>
      </c>
      <c r="G66" s="2" t="s">
        <v>15</v>
      </c>
      <c r="H66" s="2" t="s">
        <v>40</v>
      </c>
      <c r="I66" s="2" t="s">
        <v>22</v>
      </c>
      <c r="J66" s="2">
        <v>1</v>
      </c>
    </row>
    <row r="67" spans="1:10" x14ac:dyDescent="0.2">
      <c r="A67" s="2" t="s">
        <v>112</v>
      </c>
      <c r="B67" s="3">
        <v>45367</v>
      </c>
      <c r="C67" s="2" t="s">
        <v>49</v>
      </c>
      <c r="D67" s="2" t="s">
        <v>12</v>
      </c>
      <c r="E67" s="2" t="s">
        <v>50</v>
      </c>
      <c r="F67" s="2" t="s">
        <v>25</v>
      </c>
      <c r="G67" s="2" t="s">
        <v>46</v>
      </c>
      <c r="H67" s="2" t="s">
        <v>40</v>
      </c>
      <c r="I67" s="2" t="s">
        <v>17</v>
      </c>
      <c r="J67" s="2">
        <v>2</v>
      </c>
    </row>
    <row r="68" spans="1:10" x14ac:dyDescent="0.2">
      <c r="A68" s="2" t="s">
        <v>113</v>
      </c>
      <c r="B68" s="3">
        <v>45337</v>
      </c>
      <c r="C68" s="2" t="s">
        <v>34</v>
      </c>
      <c r="D68" s="2" t="s">
        <v>30</v>
      </c>
      <c r="E68" s="2" t="s">
        <v>24</v>
      </c>
      <c r="F68" s="2" t="s">
        <v>14</v>
      </c>
      <c r="G68" s="2" t="s">
        <v>46</v>
      </c>
      <c r="H68" s="2" t="s">
        <v>27</v>
      </c>
      <c r="I68" s="2" t="s">
        <v>44</v>
      </c>
      <c r="J68" s="2">
        <v>1</v>
      </c>
    </row>
    <row r="69" spans="1:10" x14ac:dyDescent="0.2">
      <c r="A69" s="2" t="s">
        <v>114</v>
      </c>
      <c r="B69" s="3">
        <v>45417</v>
      </c>
      <c r="C69" s="2" t="s">
        <v>34</v>
      </c>
      <c r="D69" s="2" t="s">
        <v>12</v>
      </c>
      <c r="E69" s="2" t="s">
        <v>24</v>
      </c>
      <c r="F69" s="2" t="s">
        <v>25</v>
      </c>
      <c r="G69" s="2" t="s">
        <v>21</v>
      </c>
      <c r="H69" s="2" t="s">
        <v>16</v>
      </c>
      <c r="I69" s="2" t="s">
        <v>41</v>
      </c>
      <c r="J69" s="2">
        <v>3</v>
      </c>
    </row>
    <row r="70" spans="1:10" x14ac:dyDescent="0.2">
      <c r="A70" s="2" t="s">
        <v>115</v>
      </c>
      <c r="B70" s="3">
        <v>45408</v>
      </c>
      <c r="C70" s="2" t="s">
        <v>19</v>
      </c>
      <c r="D70" s="2" t="s">
        <v>35</v>
      </c>
      <c r="E70" s="2" t="s">
        <v>50</v>
      </c>
      <c r="F70" s="2" t="s">
        <v>39</v>
      </c>
      <c r="G70" s="2" t="s">
        <v>26</v>
      </c>
      <c r="H70" s="2" t="s">
        <v>16</v>
      </c>
      <c r="I70" s="2" t="s">
        <v>17</v>
      </c>
      <c r="J70" s="2">
        <v>0</v>
      </c>
    </row>
    <row r="71" spans="1:10" x14ac:dyDescent="0.2">
      <c r="A71" s="2" t="s">
        <v>116</v>
      </c>
      <c r="B71" s="3">
        <v>45302</v>
      </c>
      <c r="C71" s="2" t="s">
        <v>64</v>
      </c>
      <c r="D71" s="2" t="s">
        <v>35</v>
      </c>
      <c r="E71" s="2" t="s">
        <v>24</v>
      </c>
      <c r="F71" s="2" t="s">
        <v>20</v>
      </c>
      <c r="G71" s="2" t="s">
        <v>21</v>
      </c>
      <c r="H71" s="2" t="s">
        <v>40</v>
      </c>
      <c r="I71" s="2" t="s">
        <v>44</v>
      </c>
      <c r="J71" s="2">
        <v>4</v>
      </c>
    </row>
    <row r="72" spans="1:10" x14ac:dyDescent="0.2">
      <c r="A72" s="2" t="s">
        <v>117</v>
      </c>
      <c r="B72" s="3">
        <v>45430</v>
      </c>
      <c r="C72" s="2" t="s">
        <v>58</v>
      </c>
      <c r="D72" s="2" t="s">
        <v>53</v>
      </c>
      <c r="E72" s="2" t="s">
        <v>38</v>
      </c>
      <c r="F72" s="2" t="s">
        <v>14</v>
      </c>
      <c r="G72" s="2" t="s">
        <v>15</v>
      </c>
      <c r="H72" s="2" t="s">
        <v>40</v>
      </c>
      <c r="I72" s="2" t="s">
        <v>17</v>
      </c>
      <c r="J72" s="2">
        <v>2</v>
      </c>
    </row>
    <row r="73" spans="1:10" x14ac:dyDescent="0.2">
      <c r="A73" s="2" t="s">
        <v>118</v>
      </c>
      <c r="B73" s="3">
        <v>45448</v>
      </c>
      <c r="C73" s="2" t="s">
        <v>19</v>
      </c>
      <c r="D73" s="2" t="s">
        <v>35</v>
      </c>
      <c r="E73" s="2" t="s">
        <v>59</v>
      </c>
      <c r="F73" s="2" t="s">
        <v>39</v>
      </c>
      <c r="G73" s="2" t="s">
        <v>15</v>
      </c>
      <c r="H73" s="2" t="s">
        <v>51</v>
      </c>
      <c r="I73" s="2" t="s">
        <v>41</v>
      </c>
      <c r="J73" s="2">
        <v>4</v>
      </c>
    </row>
    <row r="74" spans="1:10" x14ac:dyDescent="0.2">
      <c r="A74" s="2" t="s">
        <v>119</v>
      </c>
      <c r="B74" s="3">
        <v>45352</v>
      </c>
      <c r="C74" s="2" t="s">
        <v>34</v>
      </c>
      <c r="D74" s="2" t="s">
        <v>35</v>
      </c>
      <c r="E74" s="2" t="s">
        <v>50</v>
      </c>
      <c r="F74" s="2" t="s">
        <v>25</v>
      </c>
      <c r="G74" s="2" t="s">
        <v>15</v>
      </c>
      <c r="H74" s="2" t="s">
        <v>40</v>
      </c>
      <c r="I74" s="2" t="s">
        <v>36</v>
      </c>
      <c r="J74" s="2">
        <v>1</v>
      </c>
    </row>
    <row r="75" spans="1:10" x14ac:dyDescent="0.2">
      <c r="A75" s="2" t="s">
        <v>120</v>
      </c>
      <c r="B75" s="3">
        <v>45460</v>
      </c>
      <c r="C75" s="2" t="s">
        <v>34</v>
      </c>
      <c r="D75" s="2" t="s">
        <v>35</v>
      </c>
      <c r="E75" s="2" t="s">
        <v>38</v>
      </c>
      <c r="F75" s="2" t="s">
        <v>14</v>
      </c>
      <c r="G75" s="2" t="s">
        <v>46</v>
      </c>
      <c r="H75" s="2" t="s">
        <v>27</v>
      </c>
      <c r="I75" s="2" t="s">
        <v>41</v>
      </c>
      <c r="J75" s="2">
        <v>3</v>
      </c>
    </row>
    <row r="76" spans="1:10" x14ac:dyDescent="0.2">
      <c r="A76" s="2" t="s">
        <v>121</v>
      </c>
      <c r="B76" s="3">
        <v>45399</v>
      </c>
      <c r="C76" s="2" t="s">
        <v>64</v>
      </c>
      <c r="D76" s="2" t="s">
        <v>55</v>
      </c>
      <c r="E76" s="2" t="s">
        <v>59</v>
      </c>
      <c r="F76" s="2" t="s">
        <v>39</v>
      </c>
      <c r="G76" s="2" t="s">
        <v>21</v>
      </c>
      <c r="H76" s="2" t="s">
        <v>16</v>
      </c>
      <c r="I76" s="2" t="s">
        <v>22</v>
      </c>
      <c r="J76" s="2">
        <v>4</v>
      </c>
    </row>
    <row r="77" spans="1:10" x14ac:dyDescent="0.2">
      <c r="A77" s="2" t="s">
        <v>122</v>
      </c>
      <c r="B77" s="3">
        <v>45437</v>
      </c>
      <c r="C77" s="2" t="s">
        <v>34</v>
      </c>
      <c r="D77" s="2" t="s">
        <v>53</v>
      </c>
      <c r="E77" s="2" t="s">
        <v>31</v>
      </c>
      <c r="F77" s="2" t="s">
        <v>39</v>
      </c>
      <c r="G77" s="2" t="s">
        <v>15</v>
      </c>
      <c r="H77" s="2" t="s">
        <v>27</v>
      </c>
      <c r="I77" s="2" t="s">
        <v>36</v>
      </c>
      <c r="J77" s="2">
        <v>4</v>
      </c>
    </row>
    <row r="78" spans="1:10" x14ac:dyDescent="0.2">
      <c r="A78" s="2" t="s">
        <v>123</v>
      </c>
      <c r="B78" s="3">
        <v>45330</v>
      </c>
      <c r="C78" s="2" t="s">
        <v>58</v>
      </c>
      <c r="D78" s="2" t="s">
        <v>53</v>
      </c>
      <c r="E78" s="2" t="s">
        <v>31</v>
      </c>
      <c r="F78" s="2" t="s">
        <v>14</v>
      </c>
      <c r="G78" s="2" t="s">
        <v>26</v>
      </c>
      <c r="H78" s="2" t="s">
        <v>40</v>
      </c>
      <c r="I78" s="2" t="s">
        <v>32</v>
      </c>
      <c r="J78" s="2">
        <v>2</v>
      </c>
    </row>
    <row r="79" spans="1:10" x14ac:dyDescent="0.2">
      <c r="A79" s="2" t="s">
        <v>124</v>
      </c>
      <c r="B79" s="3">
        <v>45382</v>
      </c>
      <c r="C79" s="2" t="s">
        <v>58</v>
      </c>
      <c r="D79" s="2" t="s">
        <v>55</v>
      </c>
      <c r="E79" s="2" t="s">
        <v>38</v>
      </c>
      <c r="F79" s="2" t="s">
        <v>14</v>
      </c>
      <c r="G79" s="2" t="s">
        <v>21</v>
      </c>
      <c r="H79" s="2" t="s">
        <v>27</v>
      </c>
      <c r="I79" s="2" t="s">
        <v>17</v>
      </c>
      <c r="J79" s="2">
        <v>0</v>
      </c>
    </row>
    <row r="80" spans="1:10" x14ac:dyDescent="0.2">
      <c r="A80" s="2" t="s">
        <v>125</v>
      </c>
      <c r="B80" s="3">
        <v>45329</v>
      </c>
      <c r="C80" s="2" t="s">
        <v>19</v>
      </c>
      <c r="D80" s="2" t="s">
        <v>30</v>
      </c>
      <c r="E80" s="2" t="s">
        <v>59</v>
      </c>
      <c r="F80" s="2" t="s">
        <v>14</v>
      </c>
      <c r="G80" s="2" t="s">
        <v>46</v>
      </c>
      <c r="H80" s="2" t="s">
        <v>40</v>
      </c>
      <c r="I80" s="2" t="s">
        <v>17</v>
      </c>
      <c r="J80" s="2">
        <v>5</v>
      </c>
    </row>
    <row r="81" spans="1:10" x14ac:dyDescent="0.2">
      <c r="A81" s="2" t="s">
        <v>126</v>
      </c>
      <c r="B81" s="3">
        <v>45375</v>
      </c>
      <c r="C81" s="2" t="s">
        <v>49</v>
      </c>
      <c r="D81" s="2" t="s">
        <v>12</v>
      </c>
      <c r="E81" s="2" t="s">
        <v>13</v>
      </c>
      <c r="F81" s="2" t="s">
        <v>39</v>
      </c>
      <c r="G81" s="2" t="s">
        <v>15</v>
      </c>
      <c r="H81" s="2" t="s">
        <v>40</v>
      </c>
      <c r="I81" s="2" t="s">
        <v>22</v>
      </c>
      <c r="J81" s="2">
        <v>4</v>
      </c>
    </row>
    <row r="82" spans="1:10" x14ac:dyDescent="0.2">
      <c r="A82" s="2" t="s">
        <v>127</v>
      </c>
      <c r="B82" s="3">
        <v>45320</v>
      </c>
      <c r="C82" s="2" t="s">
        <v>43</v>
      </c>
      <c r="D82" s="2" t="s">
        <v>30</v>
      </c>
      <c r="E82" s="2" t="s">
        <v>38</v>
      </c>
      <c r="F82" s="2" t="s">
        <v>14</v>
      </c>
      <c r="G82" s="2" t="s">
        <v>15</v>
      </c>
      <c r="H82" s="2" t="s">
        <v>51</v>
      </c>
      <c r="I82" s="2" t="s">
        <v>22</v>
      </c>
      <c r="J82" s="2">
        <v>0</v>
      </c>
    </row>
    <row r="83" spans="1:10" x14ac:dyDescent="0.2">
      <c r="A83" s="2" t="s">
        <v>128</v>
      </c>
      <c r="B83" s="3">
        <v>45404</v>
      </c>
      <c r="C83" s="2" t="s">
        <v>49</v>
      </c>
      <c r="D83" s="2" t="s">
        <v>30</v>
      </c>
      <c r="E83" s="2" t="s">
        <v>59</v>
      </c>
      <c r="F83" s="2" t="s">
        <v>25</v>
      </c>
      <c r="G83" s="2" t="s">
        <v>46</v>
      </c>
      <c r="H83" s="2" t="s">
        <v>27</v>
      </c>
      <c r="I83" s="2" t="s">
        <v>17</v>
      </c>
      <c r="J83" s="2">
        <v>3</v>
      </c>
    </row>
    <row r="84" spans="1:10" x14ac:dyDescent="0.2">
      <c r="A84" s="2" t="s">
        <v>129</v>
      </c>
      <c r="B84" s="3">
        <v>45424</v>
      </c>
      <c r="C84" s="2" t="s">
        <v>19</v>
      </c>
      <c r="D84" s="2" t="s">
        <v>53</v>
      </c>
      <c r="E84" s="2" t="s">
        <v>50</v>
      </c>
      <c r="F84" s="2" t="s">
        <v>25</v>
      </c>
      <c r="G84" s="2" t="s">
        <v>21</v>
      </c>
      <c r="H84" s="2" t="s">
        <v>16</v>
      </c>
      <c r="I84" s="2" t="s">
        <v>36</v>
      </c>
      <c r="J84" s="2">
        <v>4</v>
      </c>
    </row>
    <row r="85" spans="1:10" x14ac:dyDescent="0.2">
      <c r="A85" s="2" t="s">
        <v>130</v>
      </c>
      <c r="B85" s="3">
        <v>45319</v>
      </c>
      <c r="C85" s="2" t="s">
        <v>29</v>
      </c>
      <c r="D85" s="2" t="s">
        <v>12</v>
      </c>
      <c r="E85" s="2" t="s">
        <v>50</v>
      </c>
      <c r="F85" s="2" t="s">
        <v>39</v>
      </c>
      <c r="G85" s="2" t="s">
        <v>26</v>
      </c>
      <c r="H85" s="2" t="s">
        <v>51</v>
      </c>
      <c r="I85" s="2" t="s">
        <v>32</v>
      </c>
      <c r="J85" s="2">
        <v>2</v>
      </c>
    </row>
    <row r="86" spans="1:10" x14ac:dyDescent="0.2">
      <c r="A86" s="2" t="s">
        <v>131</v>
      </c>
      <c r="B86" s="3">
        <v>45308</v>
      </c>
      <c r="C86" s="2" t="s">
        <v>43</v>
      </c>
      <c r="D86" s="2" t="s">
        <v>35</v>
      </c>
      <c r="E86" s="2" t="s">
        <v>31</v>
      </c>
      <c r="F86" s="2" t="s">
        <v>20</v>
      </c>
      <c r="G86" s="2" t="s">
        <v>46</v>
      </c>
      <c r="H86" s="2" t="s">
        <v>51</v>
      </c>
      <c r="I86" s="2" t="s">
        <v>44</v>
      </c>
      <c r="J86" s="2">
        <v>3</v>
      </c>
    </row>
    <row r="87" spans="1:10" x14ac:dyDescent="0.2">
      <c r="A87" s="2" t="s">
        <v>132</v>
      </c>
      <c r="B87" s="3">
        <v>45302</v>
      </c>
      <c r="C87" s="2" t="s">
        <v>64</v>
      </c>
      <c r="D87" s="2" t="s">
        <v>35</v>
      </c>
      <c r="E87" s="2" t="s">
        <v>38</v>
      </c>
      <c r="F87" s="2" t="s">
        <v>14</v>
      </c>
      <c r="G87" s="2" t="s">
        <v>15</v>
      </c>
      <c r="H87" s="2" t="s">
        <v>51</v>
      </c>
      <c r="I87" s="2" t="s">
        <v>41</v>
      </c>
      <c r="J87" s="2">
        <v>2</v>
      </c>
    </row>
    <row r="88" spans="1:10" x14ac:dyDescent="0.2">
      <c r="A88" s="2" t="s">
        <v>133</v>
      </c>
      <c r="B88" s="3">
        <v>45457</v>
      </c>
      <c r="C88" s="2" t="s">
        <v>49</v>
      </c>
      <c r="D88" s="2" t="s">
        <v>35</v>
      </c>
      <c r="E88" s="2" t="s">
        <v>50</v>
      </c>
      <c r="F88" s="2" t="s">
        <v>25</v>
      </c>
      <c r="G88" s="2" t="s">
        <v>46</v>
      </c>
      <c r="H88" s="2" t="s">
        <v>16</v>
      </c>
      <c r="I88" s="2" t="s">
        <v>32</v>
      </c>
      <c r="J88" s="2">
        <v>1</v>
      </c>
    </row>
    <row r="89" spans="1:10" x14ac:dyDescent="0.2">
      <c r="A89" s="2" t="s">
        <v>134</v>
      </c>
      <c r="B89" s="3">
        <v>45373</v>
      </c>
      <c r="C89" s="2" t="s">
        <v>11</v>
      </c>
      <c r="D89" s="2" t="s">
        <v>53</v>
      </c>
      <c r="E89" s="2" t="s">
        <v>24</v>
      </c>
      <c r="F89" s="2" t="s">
        <v>25</v>
      </c>
      <c r="G89" s="2" t="s">
        <v>15</v>
      </c>
      <c r="H89" s="2" t="s">
        <v>16</v>
      </c>
      <c r="I89" s="2" t="s">
        <v>36</v>
      </c>
      <c r="J89" s="2">
        <v>2</v>
      </c>
    </row>
    <row r="90" spans="1:10" x14ac:dyDescent="0.2">
      <c r="A90" s="2" t="s">
        <v>135</v>
      </c>
      <c r="B90" s="3">
        <v>45445</v>
      </c>
      <c r="C90" s="2" t="s">
        <v>58</v>
      </c>
      <c r="D90" s="2" t="s">
        <v>53</v>
      </c>
      <c r="E90" s="2" t="s">
        <v>13</v>
      </c>
      <c r="F90" s="2" t="s">
        <v>20</v>
      </c>
      <c r="G90" s="2" t="s">
        <v>15</v>
      </c>
      <c r="H90" s="2" t="s">
        <v>40</v>
      </c>
      <c r="I90" s="2" t="s">
        <v>44</v>
      </c>
      <c r="J90" s="2">
        <v>0</v>
      </c>
    </row>
    <row r="91" spans="1:10" x14ac:dyDescent="0.2">
      <c r="A91" s="2" t="s">
        <v>136</v>
      </c>
      <c r="B91" s="3">
        <v>45294</v>
      </c>
      <c r="C91" s="2" t="s">
        <v>19</v>
      </c>
      <c r="D91" s="2" t="s">
        <v>30</v>
      </c>
      <c r="E91" s="2" t="s">
        <v>38</v>
      </c>
      <c r="F91" s="2" t="s">
        <v>14</v>
      </c>
      <c r="G91" s="2" t="s">
        <v>15</v>
      </c>
      <c r="H91" s="2" t="s">
        <v>51</v>
      </c>
      <c r="I91" s="2" t="s">
        <v>17</v>
      </c>
      <c r="J91" s="2">
        <v>1</v>
      </c>
    </row>
    <row r="92" spans="1:10" x14ac:dyDescent="0.2">
      <c r="A92" s="2" t="s">
        <v>137</v>
      </c>
      <c r="B92" s="3">
        <v>45458</v>
      </c>
      <c r="C92" s="2" t="s">
        <v>64</v>
      </c>
      <c r="D92" s="2" t="s">
        <v>55</v>
      </c>
      <c r="E92" s="2" t="s">
        <v>13</v>
      </c>
      <c r="F92" s="2" t="s">
        <v>20</v>
      </c>
      <c r="G92" s="2" t="s">
        <v>26</v>
      </c>
      <c r="H92" s="2" t="s">
        <v>27</v>
      </c>
      <c r="I92" s="2" t="s">
        <v>44</v>
      </c>
      <c r="J92" s="2">
        <v>4</v>
      </c>
    </row>
    <row r="93" spans="1:10" x14ac:dyDescent="0.2">
      <c r="A93" s="2" t="s">
        <v>138</v>
      </c>
      <c r="B93" s="3">
        <v>45369</v>
      </c>
      <c r="C93" s="2" t="s">
        <v>11</v>
      </c>
      <c r="D93" s="2" t="s">
        <v>30</v>
      </c>
      <c r="E93" s="2" t="s">
        <v>59</v>
      </c>
      <c r="F93" s="2" t="s">
        <v>14</v>
      </c>
      <c r="G93" s="2" t="s">
        <v>21</v>
      </c>
      <c r="H93" s="2" t="s">
        <v>27</v>
      </c>
      <c r="I93" s="2" t="s">
        <v>22</v>
      </c>
      <c r="J93" s="2">
        <v>1</v>
      </c>
    </row>
    <row r="94" spans="1:10" x14ac:dyDescent="0.2">
      <c r="A94" s="2" t="s">
        <v>139</v>
      </c>
      <c r="B94" s="3">
        <v>45389</v>
      </c>
      <c r="C94" s="2" t="s">
        <v>29</v>
      </c>
      <c r="D94" s="2" t="s">
        <v>55</v>
      </c>
      <c r="E94" s="2" t="s">
        <v>50</v>
      </c>
      <c r="F94" s="2" t="s">
        <v>20</v>
      </c>
      <c r="G94" s="2" t="s">
        <v>46</v>
      </c>
      <c r="H94" s="2" t="s">
        <v>51</v>
      </c>
      <c r="I94" s="2" t="s">
        <v>22</v>
      </c>
      <c r="J94" s="2">
        <v>5</v>
      </c>
    </row>
    <row r="95" spans="1:10" x14ac:dyDescent="0.2">
      <c r="A95" s="2" t="s">
        <v>140</v>
      </c>
      <c r="B95" s="3">
        <v>45456</v>
      </c>
      <c r="C95" s="2" t="s">
        <v>64</v>
      </c>
      <c r="D95" s="2" t="s">
        <v>35</v>
      </c>
      <c r="E95" s="2" t="s">
        <v>24</v>
      </c>
      <c r="F95" s="2" t="s">
        <v>14</v>
      </c>
      <c r="G95" s="2" t="s">
        <v>21</v>
      </c>
      <c r="H95" s="2" t="s">
        <v>27</v>
      </c>
      <c r="I95" s="2" t="s">
        <v>22</v>
      </c>
      <c r="J95" s="2">
        <v>0</v>
      </c>
    </row>
    <row r="96" spans="1:10" x14ac:dyDescent="0.2">
      <c r="A96" s="2" t="s">
        <v>141</v>
      </c>
      <c r="B96" s="3">
        <v>45342</v>
      </c>
      <c r="C96" s="2" t="s">
        <v>19</v>
      </c>
      <c r="D96" s="2" t="s">
        <v>30</v>
      </c>
      <c r="E96" s="2" t="s">
        <v>24</v>
      </c>
      <c r="F96" s="2" t="s">
        <v>14</v>
      </c>
      <c r="G96" s="2" t="s">
        <v>21</v>
      </c>
      <c r="H96" s="2" t="s">
        <v>40</v>
      </c>
      <c r="I96" s="2" t="s">
        <v>41</v>
      </c>
      <c r="J96" s="2">
        <v>3</v>
      </c>
    </row>
    <row r="97" spans="1:10" x14ac:dyDescent="0.2">
      <c r="A97" s="2" t="s">
        <v>142</v>
      </c>
      <c r="B97" s="3">
        <v>45313</v>
      </c>
      <c r="C97" s="2" t="s">
        <v>34</v>
      </c>
      <c r="D97" s="2" t="s">
        <v>35</v>
      </c>
      <c r="E97" s="2" t="s">
        <v>38</v>
      </c>
      <c r="F97" s="2" t="s">
        <v>14</v>
      </c>
      <c r="G97" s="2" t="s">
        <v>26</v>
      </c>
      <c r="H97" s="2" t="s">
        <v>40</v>
      </c>
      <c r="I97" s="2" t="s">
        <v>41</v>
      </c>
      <c r="J97" s="2">
        <v>5</v>
      </c>
    </row>
    <row r="98" spans="1:10" x14ac:dyDescent="0.2">
      <c r="A98" s="2" t="s">
        <v>143</v>
      </c>
      <c r="B98" s="3">
        <v>45403</v>
      </c>
      <c r="C98" s="2" t="s">
        <v>43</v>
      </c>
      <c r="D98" s="2" t="s">
        <v>53</v>
      </c>
      <c r="E98" s="2" t="s">
        <v>31</v>
      </c>
      <c r="F98" s="2" t="s">
        <v>25</v>
      </c>
      <c r="G98" s="2" t="s">
        <v>21</v>
      </c>
      <c r="H98" s="2" t="s">
        <v>27</v>
      </c>
      <c r="I98" s="2" t="s">
        <v>41</v>
      </c>
      <c r="J98" s="2">
        <v>3</v>
      </c>
    </row>
    <row r="99" spans="1:10" x14ac:dyDescent="0.2">
      <c r="A99" s="2" t="s">
        <v>144</v>
      </c>
      <c r="B99" s="3">
        <v>45390</v>
      </c>
      <c r="C99" s="2" t="s">
        <v>43</v>
      </c>
      <c r="D99" s="2" t="s">
        <v>55</v>
      </c>
      <c r="E99" s="2" t="s">
        <v>50</v>
      </c>
      <c r="F99" s="2" t="s">
        <v>25</v>
      </c>
      <c r="G99" s="2" t="s">
        <v>46</v>
      </c>
      <c r="H99" s="2" t="s">
        <v>51</v>
      </c>
      <c r="I99" s="2" t="s">
        <v>44</v>
      </c>
      <c r="J99" s="2">
        <v>0</v>
      </c>
    </row>
    <row r="100" spans="1:10" x14ac:dyDescent="0.2">
      <c r="A100" s="2" t="s">
        <v>145</v>
      </c>
      <c r="B100" s="3">
        <v>45464</v>
      </c>
      <c r="C100" s="2" t="s">
        <v>64</v>
      </c>
      <c r="D100" s="2" t="s">
        <v>12</v>
      </c>
      <c r="E100" s="2" t="s">
        <v>13</v>
      </c>
      <c r="F100" s="2" t="s">
        <v>14</v>
      </c>
      <c r="G100" s="2" t="s">
        <v>46</v>
      </c>
      <c r="H100" s="2" t="s">
        <v>40</v>
      </c>
      <c r="I100" s="2" t="s">
        <v>41</v>
      </c>
      <c r="J100" s="2">
        <v>4</v>
      </c>
    </row>
    <row r="101" spans="1:10" x14ac:dyDescent="0.2">
      <c r="A101" s="2" t="s">
        <v>146</v>
      </c>
      <c r="B101" s="3">
        <v>45317</v>
      </c>
      <c r="C101" s="2" t="s">
        <v>49</v>
      </c>
      <c r="D101" s="2" t="s">
        <v>55</v>
      </c>
      <c r="E101" s="2" t="s">
        <v>50</v>
      </c>
      <c r="F101" s="2" t="s">
        <v>25</v>
      </c>
      <c r="G101" s="2" t="s">
        <v>21</v>
      </c>
      <c r="H101" s="2" t="s">
        <v>51</v>
      </c>
      <c r="I101" s="2" t="s">
        <v>17</v>
      </c>
      <c r="J101" s="2">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E784-8501-4C6A-B3DF-6E9CE2DC88FD}">
  <sheetPr codeName="Sheet4"/>
  <dimension ref="A1:S118"/>
  <sheetViews>
    <sheetView showGridLines="0" topLeftCell="A49" zoomScale="113" workbookViewId="0">
      <selection activeCell="F85" sqref="F85"/>
    </sheetView>
  </sheetViews>
  <sheetFormatPr defaultRowHeight="12.75" x14ac:dyDescent="0.2"/>
  <cols>
    <col min="2" max="3" width="13.85546875" bestFit="1" customWidth="1"/>
    <col min="4" max="4" width="19.7109375" bestFit="1" customWidth="1"/>
  </cols>
  <sheetData>
    <row r="1" spans="1:19" ht="27.75" thickBot="1" x14ac:dyDescent="0.4">
      <c r="A1" s="35" t="s">
        <v>185</v>
      </c>
      <c r="B1" s="36"/>
      <c r="C1" s="36"/>
      <c r="D1" s="36"/>
      <c r="E1" s="36"/>
      <c r="F1" s="36"/>
      <c r="G1" s="36"/>
      <c r="H1" s="36"/>
      <c r="I1" s="36"/>
      <c r="J1" s="36"/>
      <c r="K1" s="36"/>
      <c r="L1" s="36"/>
      <c r="M1" s="36"/>
      <c r="N1" s="36"/>
      <c r="O1" s="36"/>
      <c r="P1" s="36"/>
      <c r="Q1" s="36"/>
      <c r="R1" s="36"/>
      <c r="S1" s="37"/>
    </row>
    <row r="2" spans="1:19" x14ac:dyDescent="0.2">
      <c r="A2" s="9"/>
      <c r="B2" s="9"/>
      <c r="C2" s="9"/>
      <c r="D2" s="9"/>
      <c r="E2" s="9"/>
      <c r="F2" s="9"/>
      <c r="G2" s="9"/>
      <c r="H2" s="9"/>
      <c r="I2" s="9"/>
      <c r="J2" s="9"/>
      <c r="K2" s="9"/>
      <c r="L2" s="9"/>
      <c r="M2" s="9"/>
      <c r="N2" s="9"/>
      <c r="O2" s="9"/>
      <c r="P2" s="9"/>
      <c r="Q2" s="9"/>
      <c r="R2" s="9"/>
      <c r="S2" s="9"/>
    </row>
    <row r="3" spans="1:19" ht="12.75" customHeight="1" x14ac:dyDescent="0.2">
      <c r="A3" s="9"/>
      <c r="B3" s="9"/>
      <c r="C3" s="34" t="s">
        <v>177</v>
      </c>
      <c r="D3" s="34"/>
      <c r="E3" s="34"/>
      <c r="F3" s="34"/>
      <c r="G3" s="9"/>
      <c r="H3" s="9"/>
      <c r="I3" s="9"/>
      <c r="J3" s="9"/>
      <c r="K3" s="9"/>
      <c r="L3" s="9"/>
      <c r="M3" s="9"/>
      <c r="N3" s="9"/>
      <c r="O3" s="9"/>
      <c r="P3" s="9"/>
      <c r="Q3" s="9"/>
      <c r="R3" s="9"/>
      <c r="S3" s="9"/>
    </row>
    <row r="4" spans="1:19" ht="12.75" customHeight="1" x14ac:dyDescent="0.2">
      <c r="A4" s="9"/>
      <c r="B4" s="9"/>
      <c r="C4" s="34"/>
      <c r="D4" s="34"/>
      <c r="E4" s="34"/>
      <c r="F4" s="34"/>
      <c r="G4" s="9"/>
      <c r="H4" s="9"/>
      <c r="I4" s="9"/>
      <c r="J4" s="9"/>
      <c r="K4" s="9"/>
      <c r="L4" s="9"/>
      <c r="M4" s="9"/>
      <c r="N4" s="9"/>
      <c r="O4" s="9"/>
      <c r="P4" s="9"/>
      <c r="Q4" s="9"/>
      <c r="R4" s="9"/>
      <c r="S4" s="9"/>
    </row>
    <row r="5" spans="1:19" x14ac:dyDescent="0.2">
      <c r="A5" s="9"/>
      <c r="B5" s="9"/>
      <c r="C5" s="9"/>
      <c r="D5" s="9"/>
      <c r="E5" s="9"/>
      <c r="F5" s="9"/>
      <c r="G5" s="9"/>
      <c r="H5" s="9"/>
      <c r="I5" s="9"/>
      <c r="J5" s="9"/>
      <c r="K5" s="9"/>
      <c r="L5" s="9"/>
      <c r="M5" s="9"/>
      <c r="N5" s="9"/>
      <c r="O5" s="9"/>
      <c r="P5" s="9"/>
      <c r="Q5" s="9"/>
      <c r="R5" s="9"/>
      <c r="S5" s="9"/>
    </row>
    <row r="6" spans="1:19" x14ac:dyDescent="0.2">
      <c r="A6" s="9"/>
      <c r="B6" s="9"/>
      <c r="C6" s="9"/>
      <c r="D6" s="9"/>
      <c r="E6" s="9"/>
      <c r="F6" s="9"/>
      <c r="G6" s="9"/>
      <c r="H6" s="9"/>
      <c r="I6" s="9"/>
      <c r="J6" s="9"/>
      <c r="K6" s="9"/>
      <c r="L6" s="9"/>
      <c r="M6" s="9"/>
      <c r="N6" s="9"/>
      <c r="O6" s="9"/>
      <c r="P6" s="9"/>
      <c r="Q6" s="9"/>
      <c r="R6" s="9"/>
      <c r="S6" s="9"/>
    </row>
    <row r="7" spans="1:19" x14ac:dyDescent="0.2">
      <c r="A7" s="9"/>
      <c r="B7" s="9"/>
      <c r="C7" s="5" t="s">
        <v>174</v>
      </c>
      <c r="D7" t="s">
        <v>176</v>
      </c>
      <c r="E7" s="9"/>
      <c r="F7" s="9"/>
      <c r="G7" s="9"/>
      <c r="H7" s="9"/>
      <c r="I7" s="9"/>
      <c r="J7" s="9"/>
      <c r="K7" s="9"/>
      <c r="L7" s="9"/>
      <c r="M7" s="9"/>
      <c r="N7" s="9"/>
      <c r="O7" s="9"/>
      <c r="P7" s="9"/>
      <c r="Q7" s="9"/>
      <c r="R7" s="9"/>
      <c r="S7" s="9"/>
    </row>
    <row r="8" spans="1:19" x14ac:dyDescent="0.2">
      <c r="A8" s="9"/>
      <c r="B8" s="9"/>
      <c r="C8" s="6" t="s">
        <v>49</v>
      </c>
      <c r="D8">
        <v>9</v>
      </c>
      <c r="E8" s="9"/>
      <c r="F8" s="9"/>
      <c r="G8" s="9"/>
      <c r="H8" s="9"/>
      <c r="I8" s="9"/>
      <c r="J8" s="9"/>
      <c r="K8" s="9"/>
      <c r="L8" s="9"/>
      <c r="M8" s="9"/>
      <c r="N8" s="9"/>
      <c r="O8" s="9"/>
      <c r="P8" s="9"/>
      <c r="Q8" s="9"/>
      <c r="R8" s="9"/>
      <c r="S8" s="9"/>
    </row>
    <row r="9" spans="1:19" x14ac:dyDescent="0.2">
      <c r="A9" s="9"/>
      <c r="B9" s="9"/>
      <c r="C9" s="6" t="s">
        <v>34</v>
      </c>
      <c r="D9">
        <v>14</v>
      </c>
      <c r="E9" s="9"/>
      <c r="F9" s="9"/>
      <c r="G9" s="9"/>
      <c r="H9" s="9"/>
      <c r="I9" s="9"/>
      <c r="J9" s="9"/>
      <c r="K9" s="9"/>
      <c r="L9" s="9"/>
      <c r="M9" s="9"/>
      <c r="N9" s="9"/>
      <c r="O9" s="9"/>
      <c r="P9" s="9"/>
      <c r="Q9" s="9"/>
      <c r="R9" s="9"/>
      <c r="S9" s="9"/>
    </row>
    <row r="10" spans="1:19" x14ac:dyDescent="0.2">
      <c r="A10" s="9"/>
      <c r="B10" s="9"/>
      <c r="C10" s="6" t="s">
        <v>58</v>
      </c>
      <c r="D10">
        <v>12</v>
      </c>
      <c r="E10" s="9"/>
      <c r="F10" s="9"/>
      <c r="G10" s="9"/>
      <c r="H10" s="9"/>
      <c r="I10" s="9"/>
      <c r="J10" s="9"/>
      <c r="K10" s="9"/>
      <c r="L10" s="9"/>
      <c r="M10" s="9"/>
      <c r="N10" s="9"/>
      <c r="O10" s="9"/>
      <c r="P10" s="9"/>
      <c r="Q10" s="9"/>
      <c r="R10" s="9"/>
      <c r="S10" s="9"/>
    </row>
    <row r="11" spans="1:19" x14ac:dyDescent="0.2">
      <c r="A11" s="9"/>
      <c r="B11" s="9"/>
      <c r="C11" s="6" t="s">
        <v>43</v>
      </c>
      <c r="D11">
        <v>9</v>
      </c>
      <c r="E11" s="9"/>
      <c r="F11" s="9"/>
      <c r="G11" s="9"/>
      <c r="H11" s="9"/>
      <c r="I11" s="9"/>
      <c r="J11" s="9"/>
      <c r="K11" s="9"/>
      <c r="L11" s="9"/>
      <c r="M11" s="9"/>
      <c r="N11" s="9"/>
      <c r="O11" s="9"/>
      <c r="P11" s="9"/>
      <c r="Q11" s="9"/>
      <c r="R11" s="9"/>
      <c r="S11" s="9"/>
    </row>
    <row r="12" spans="1:19" x14ac:dyDescent="0.2">
      <c r="A12" s="9"/>
      <c r="B12" s="9"/>
      <c r="C12" s="6" t="s">
        <v>11</v>
      </c>
      <c r="D12">
        <v>17</v>
      </c>
      <c r="E12" s="9"/>
      <c r="F12" s="9"/>
      <c r="G12" s="9"/>
      <c r="H12" s="9"/>
      <c r="I12" s="9"/>
      <c r="J12" s="9"/>
      <c r="K12" s="9"/>
      <c r="L12" s="9"/>
      <c r="M12" s="9"/>
      <c r="N12" s="9"/>
      <c r="O12" s="9"/>
      <c r="P12" s="9"/>
      <c r="Q12" s="9"/>
      <c r="R12" s="9"/>
      <c r="S12" s="9"/>
    </row>
    <row r="13" spans="1:19" x14ac:dyDescent="0.2">
      <c r="A13" s="9"/>
      <c r="B13" s="9"/>
      <c r="C13" s="6" t="s">
        <v>64</v>
      </c>
      <c r="D13">
        <v>13</v>
      </c>
      <c r="E13" s="9"/>
      <c r="F13" s="9"/>
      <c r="G13" s="9"/>
      <c r="H13" s="9"/>
      <c r="I13" s="9"/>
      <c r="J13" s="9"/>
      <c r="K13" s="9"/>
      <c r="L13" s="9"/>
      <c r="M13" s="9"/>
      <c r="N13" s="9"/>
      <c r="O13" s="9"/>
      <c r="P13" s="9"/>
      <c r="Q13" s="9"/>
      <c r="R13" s="9"/>
      <c r="S13" s="9"/>
    </row>
    <row r="14" spans="1:19" x14ac:dyDescent="0.2">
      <c r="A14" s="9"/>
      <c r="B14" s="9"/>
      <c r="C14" s="6" t="s">
        <v>19</v>
      </c>
      <c r="D14">
        <v>15</v>
      </c>
      <c r="E14" s="9"/>
      <c r="F14" s="9"/>
      <c r="G14" s="9"/>
      <c r="H14" s="9"/>
      <c r="I14" s="9"/>
      <c r="J14" s="9"/>
      <c r="K14" s="9"/>
      <c r="L14" s="9"/>
      <c r="M14" s="9"/>
      <c r="N14" s="9"/>
      <c r="O14" s="9"/>
      <c r="P14" s="9"/>
      <c r="Q14" s="9"/>
      <c r="R14" s="9"/>
      <c r="S14" s="9"/>
    </row>
    <row r="15" spans="1:19" x14ac:dyDescent="0.2">
      <c r="A15" s="9"/>
      <c r="B15" s="9"/>
      <c r="C15" s="6" t="s">
        <v>29</v>
      </c>
      <c r="D15">
        <v>11</v>
      </c>
      <c r="E15" s="9"/>
      <c r="F15" s="9"/>
      <c r="G15" s="9"/>
      <c r="H15" s="9"/>
      <c r="I15" s="9"/>
      <c r="J15" s="9"/>
      <c r="K15" s="9"/>
      <c r="L15" s="9"/>
      <c r="M15" s="9"/>
      <c r="N15" s="9"/>
      <c r="O15" s="9"/>
      <c r="P15" s="9"/>
      <c r="Q15" s="9"/>
      <c r="R15" s="9"/>
      <c r="S15" s="9"/>
    </row>
    <row r="16" spans="1:19" x14ac:dyDescent="0.2">
      <c r="A16" s="9"/>
      <c r="B16" s="9"/>
      <c r="C16" s="6" t="s">
        <v>175</v>
      </c>
      <c r="D16">
        <v>100</v>
      </c>
      <c r="E16" s="9"/>
      <c r="F16" s="9"/>
      <c r="G16" s="9"/>
      <c r="H16" s="9"/>
      <c r="I16" s="9"/>
      <c r="J16" s="9"/>
      <c r="K16" s="9"/>
      <c r="L16" s="9"/>
      <c r="M16" s="9"/>
      <c r="N16" s="9"/>
      <c r="O16" s="9"/>
      <c r="P16" s="9"/>
      <c r="Q16" s="9"/>
      <c r="R16" s="9"/>
      <c r="S16" s="9"/>
    </row>
    <row r="17" spans="1:19" x14ac:dyDescent="0.2">
      <c r="A17" s="9"/>
      <c r="B17" s="9"/>
      <c r="C17" s="9"/>
      <c r="D17" s="9"/>
      <c r="E17" s="9"/>
      <c r="F17" s="9"/>
      <c r="G17" s="9"/>
      <c r="H17" s="9"/>
      <c r="I17" s="9"/>
      <c r="J17" s="9"/>
      <c r="K17" s="9"/>
      <c r="L17" s="9"/>
      <c r="M17" s="9"/>
      <c r="N17" s="9"/>
      <c r="O17" s="9"/>
      <c r="P17" s="9"/>
      <c r="Q17" s="9"/>
      <c r="R17" s="9"/>
      <c r="S17" s="9"/>
    </row>
    <row r="18" spans="1:19" x14ac:dyDescent="0.2">
      <c r="A18" s="9"/>
      <c r="B18" s="9"/>
      <c r="C18" s="9"/>
      <c r="D18" s="9"/>
      <c r="E18" s="9"/>
      <c r="F18" s="9"/>
      <c r="G18" s="9"/>
      <c r="H18" s="9"/>
      <c r="I18" s="9"/>
      <c r="J18" s="9"/>
      <c r="K18" s="9"/>
      <c r="L18" s="9"/>
      <c r="M18" s="9"/>
      <c r="N18" s="9"/>
      <c r="O18" s="9"/>
      <c r="P18" s="9"/>
      <c r="Q18" s="9"/>
      <c r="R18" s="9"/>
      <c r="S18" s="9"/>
    </row>
    <row r="19" spans="1:19" x14ac:dyDescent="0.2">
      <c r="A19" s="9"/>
      <c r="B19" s="9"/>
      <c r="C19" s="9"/>
      <c r="D19" s="9"/>
      <c r="E19" s="9"/>
      <c r="F19" s="9"/>
      <c r="G19" s="9"/>
      <c r="H19" s="9"/>
      <c r="I19" s="9"/>
      <c r="J19" s="9"/>
      <c r="K19" s="9"/>
      <c r="L19" s="9"/>
      <c r="M19" s="9"/>
      <c r="N19" s="9"/>
      <c r="O19" s="9"/>
      <c r="P19" s="9"/>
      <c r="Q19" s="9"/>
      <c r="R19" s="9"/>
      <c r="S19" s="9"/>
    </row>
    <row r="20" spans="1:19" x14ac:dyDescent="0.2">
      <c r="A20" s="9"/>
      <c r="B20" s="9"/>
      <c r="C20" s="9"/>
      <c r="D20" s="9"/>
      <c r="E20" s="9"/>
      <c r="F20" s="9"/>
      <c r="G20" s="9"/>
      <c r="H20" s="9"/>
      <c r="I20" s="9"/>
      <c r="J20" s="9"/>
      <c r="K20" s="9"/>
      <c r="L20" s="9"/>
      <c r="M20" s="9"/>
      <c r="N20" s="9"/>
      <c r="O20" s="9"/>
      <c r="P20" s="9"/>
      <c r="Q20" s="9"/>
      <c r="R20" s="9"/>
      <c r="S20" s="9"/>
    </row>
    <row r="21" spans="1:19" x14ac:dyDescent="0.2">
      <c r="A21" s="9"/>
      <c r="B21" s="9"/>
      <c r="C21" s="9"/>
      <c r="D21" s="9"/>
      <c r="E21" s="9"/>
      <c r="F21" s="9"/>
      <c r="G21" s="9"/>
      <c r="H21" s="9"/>
      <c r="I21" s="9"/>
      <c r="J21" s="9"/>
      <c r="K21" s="9"/>
      <c r="L21" s="9"/>
      <c r="M21" s="9"/>
      <c r="N21" s="9"/>
      <c r="O21" s="9"/>
      <c r="P21" s="9"/>
      <c r="Q21" s="9"/>
      <c r="R21" s="9"/>
      <c r="S21" s="9"/>
    </row>
    <row r="22" spans="1:19" x14ac:dyDescent="0.2">
      <c r="A22" s="9"/>
      <c r="B22" s="34" t="s">
        <v>179</v>
      </c>
      <c r="C22" s="34"/>
      <c r="D22" s="34"/>
      <c r="E22" s="9"/>
      <c r="F22" s="9"/>
      <c r="G22" s="9"/>
      <c r="H22" s="9"/>
      <c r="I22" s="9"/>
      <c r="J22" s="9"/>
      <c r="K22" s="9"/>
      <c r="L22" s="9"/>
      <c r="M22" s="9"/>
      <c r="N22" s="9"/>
      <c r="O22" s="9"/>
      <c r="P22" s="9"/>
      <c r="Q22" s="9"/>
      <c r="R22" s="9"/>
      <c r="S22" s="9"/>
    </row>
    <row r="23" spans="1:19" x14ac:dyDescent="0.2">
      <c r="A23" s="9"/>
      <c r="B23" s="34"/>
      <c r="C23" s="34"/>
      <c r="D23" s="34"/>
      <c r="E23" s="9"/>
      <c r="F23" s="9"/>
      <c r="G23" s="9"/>
      <c r="H23" s="9"/>
      <c r="I23" s="9"/>
      <c r="J23" s="9"/>
      <c r="K23" s="9"/>
      <c r="L23" s="9"/>
      <c r="M23" s="9"/>
      <c r="N23" s="9"/>
      <c r="O23" s="9"/>
      <c r="P23" s="9"/>
      <c r="Q23" s="9"/>
      <c r="R23" s="9"/>
      <c r="S23" s="9"/>
    </row>
    <row r="24" spans="1:19" x14ac:dyDescent="0.2">
      <c r="A24" s="9"/>
      <c r="B24" s="9"/>
      <c r="C24" s="9"/>
      <c r="D24" s="9"/>
      <c r="E24" s="9"/>
      <c r="F24" s="9"/>
      <c r="G24" s="9"/>
      <c r="H24" s="9"/>
      <c r="I24" s="9"/>
      <c r="J24" s="9"/>
      <c r="K24" s="9"/>
      <c r="L24" s="9"/>
      <c r="M24" s="9"/>
      <c r="N24" s="9"/>
      <c r="O24" s="9"/>
      <c r="P24" s="9"/>
      <c r="Q24" s="9"/>
      <c r="R24" s="9"/>
      <c r="S24" s="9"/>
    </row>
    <row r="25" spans="1:19" x14ac:dyDescent="0.2">
      <c r="A25" s="9"/>
      <c r="B25" s="9"/>
      <c r="C25" s="5" t="s">
        <v>174</v>
      </c>
      <c r="D25" t="s">
        <v>176</v>
      </c>
      <c r="E25" s="9"/>
      <c r="F25" s="9"/>
      <c r="G25" s="9"/>
      <c r="H25" s="9"/>
      <c r="I25" s="9"/>
      <c r="J25" s="9"/>
      <c r="K25" s="9"/>
      <c r="L25" s="9"/>
      <c r="M25" s="9"/>
      <c r="N25" s="9"/>
      <c r="O25" s="9"/>
      <c r="P25" s="9"/>
      <c r="Q25" s="9"/>
      <c r="R25" s="9"/>
      <c r="S25" s="9"/>
    </row>
    <row r="26" spans="1:19" x14ac:dyDescent="0.2">
      <c r="A26" s="9"/>
      <c r="B26" s="9"/>
      <c r="C26" s="6" t="s">
        <v>27</v>
      </c>
      <c r="D26">
        <v>24</v>
      </c>
      <c r="E26" s="9"/>
      <c r="F26" s="9"/>
      <c r="G26" s="9"/>
      <c r="H26" s="9"/>
      <c r="I26" s="9"/>
      <c r="J26" s="9"/>
      <c r="K26" s="9"/>
      <c r="L26" s="9"/>
      <c r="M26" s="9"/>
      <c r="N26" s="9"/>
      <c r="O26" s="9"/>
      <c r="P26" s="9"/>
      <c r="Q26" s="9"/>
      <c r="R26" s="9"/>
      <c r="S26" s="9"/>
    </row>
    <row r="27" spans="1:19" x14ac:dyDescent="0.2">
      <c r="A27" s="9"/>
      <c r="B27" s="9"/>
      <c r="C27" s="6" t="s">
        <v>40</v>
      </c>
      <c r="D27">
        <v>26</v>
      </c>
      <c r="E27" s="9"/>
      <c r="F27" s="9"/>
      <c r="G27" s="9"/>
      <c r="H27" s="9"/>
      <c r="I27" s="9"/>
      <c r="J27" s="9"/>
      <c r="K27" s="9"/>
      <c r="L27" s="9"/>
      <c r="M27" s="9"/>
      <c r="N27" s="9"/>
      <c r="O27" s="9"/>
      <c r="P27" s="9"/>
      <c r="Q27" s="9"/>
      <c r="R27" s="9"/>
      <c r="S27" s="9"/>
    </row>
    <row r="28" spans="1:19" x14ac:dyDescent="0.2">
      <c r="A28" s="9"/>
      <c r="B28" s="9"/>
      <c r="C28" s="6" t="s">
        <v>16</v>
      </c>
      <c r="D28">
        <v>22</v>
      </c>
      <c r="E28" s="9"/>
      <c r="F28" s="9"/>
      <c r="G28" s="9"/>
      <c r="H28" s="9"/>
      <c r="I28" s="9"/>
      <c r="J28" s="9"/>
      <c r="K28" s="9"/>
      <c r="L28" s="9"/>
      <c r="M28" s="9"/>
      <c r="N28" s="9"/>
      <c r="O28" s="9"/>
      <c r="P28" s="9"/>
      <c r="Q28" s="9"/>
      <c r="R28" s="9"/>
      <c r="S28" s="9"/>
    </row>
    <row r="29" spans="1:19" x14ac:dyDescent="0.2">
      <c r="A29" s="9"/>
      <c r="B29" s="9"/>
      <c r="C29" s="6" t="s">
        <v>51</v>
      </c>
      <c r="D29">
        <v>28</v>
      </c>
      <c r="E29" s="9"/>
      <c r="F29" s="9"/>
      <c r="G29" s="9"/>
      <c r="H29" s="9"/>
      <c r="I29" s="9"/>
      <c r="J29" s="9"/>
      <c r="K29" s="9"/>
      <c r="L29" s="9"/>
      <c r="M29" s="9"/>
      <c r="N29" s="9"/>
      <c r="O29" s="9"/>
      <c r="P29" s="9"/>
      <c r="Q29" s="9"/>
      <c r="R29" s="9"/>
      <c r="S29" s="9"/>
    </row>
    <row r="30" spans="1:19" x14ac:dyDescent="0.2">
      <c r="A30" s="9"/>
      <c r="B30" s="9"/>
      <c r="C30" s="6" t="s">
        <v>175</v>
      </c>
      <c r="D30">
        <v>100</v>
      </c>
      <c r="E30" s="9"/>
      <c r="F30" s="9"/>
      <c r="G30" s="9"/>
      <c r="H30" s="9"/>
      <c r="I30" s="9"/>
      <c r="J30" s="9"/>
      <c r="K30" s="9"/>
      <c r="L30" s="9"/>
      <c r="M30" s="9"/>
      <c r="N30" s="9"/>
      <c r="O30" s="9"/>
      <c r="P30" s="9"/>
      <c r="Q30" s="9"/>
      <c r="R30" s="9"/>
      <c r="S30" s="9"/>
    </row>
    <row r="31" spans="1:19" x14ac:dyDescent="0.2">
      <c r="A31" s="9"/>
      <c r="B31" s="9"/>
      <c r="C31" s="9"/>
      <c r="D31" s="9"/>
      <c r="E31" s="9"/>
      <c r="F31" s="9"/>
      <c r="G31" s="9"/>
      <c r="H31" s="9"/>
      <c r="I31" s="9"/>
      <c r="J31" s="9"/>
      <c r="K31" s="9"/>
      <c r="L31" s="9"/>
      <c r="M31" s="9"/>
      <c r="N31" s="9"/>
      <c r="O31" s="9"/>
      <c r="P31" s="9"/>
      <c r="Q31" s="9"/>
      <c r="R31" s="9"/>
      <c r="S31" s="9"/>
    </row>
    <row r="32" spans="1:19" x14ac:dyDescent="0.2">
      <c r="A32" s="9"/>
      <c r="B32" s="9"/>
      <c r="C32" s="9"/>
      <c r="D32" s="9"/>
      <c r="E32" s="9"/>
      <c r="F32" s="9"/>
      <c r="G32" s="9"/>
      <c r="H32" s="9"/>
      <c r="I32" s="9"/>
      <c r="J32" s="9"/>
      <c r="K32" s="9"/>
      <c r="L32" s="9"/>
      <c r="M32" s="9"/>
      <c r="N32" s="9"/>
      <c r="O32" s="9"/>
      <c r="P32" s="9"/>
      <c r="Q32" s="9"/>
      <c r="R32" s="9"/>
      <c r="S32" s="9"/>
    </row>
    <row r="33" spans="1:19" x14ac:dyDescent="0.2">
      <c r="A33" s="9"/>
      <c r="B33" s="9"/>
      <c r="C33" s="9"/>
      <c r="D33" s="9"/>
      <c r="E33" s="9"/>
      <c r="F33" s="9"/>
      <c r="G33" s="9"/>
      <c r="H33" s="9"/>
      <c r="I33" s="9"/>
      <c r="J33" s="9"/>
      <c r="K33" s="9"/>
      <c r="L33" s="9"/>
      <c r="M33" s="9"/>
      <c r="N33" s="9"/>
      <c r="O33" s="9"/>
      <c r="P33" s="9"/>
      <c r="Q33" s="9"/>
      <c r="R33" s="9"/>
      <c r="S33" s="9"/>
    </row>
    <row r="34" spans="1:19" x14ac:dyDescent="0.2">
      <c r="A34" s="9"/>
      <c r="B34" s="9"/>
      <c r="C34" s="9"/>
      <c r="D34" s="9"/>
      <c r="E34" s="9"/>
      <c r="F34" s="9"/>
      <c r="G34" s="9"/>
      <c r="H34" s="9"/>
      <c r="I34" s="9"/>
      <c r="J34" s="9"/>
      <c r="K34" s="9"/>
      <c r="L34" s="9"/>
      <c r="M34" s="9"/>
      <c r="N34" s="9"/>
      <c r="O34" s="9"/>
      <c r="P34" s="9"/>
      <c r="Q34" s="9"/>
      <c r="R34" s="9"/>
      <c r="S34" s="9"/>
    </row>
    <row r="35" spans="1:19" x14ac:dyDescent="0.2">
      <c r="A35" s="9"/>
      <c r="B35" s="9"/>
      <c r="C35" s="9"/>
      <c r="D35" s="9"/>
      <c r="E35" s="9"/>
      <c r="F35" s="9"/>
      <c r="G35" s="9"/>
      <c r="H35" s="9"/>
      <c r="I35" s="9"/>
      <c r="J35" s="9"/>
      <c r="K35" s="9"/>
      <c r="L35" s="9"/>
      <c r="M35" s="9"/>
      <c r="N35" s="9"/>
      <c r="O35" s="9"/>
      <c r="P35" s="9"/>
      <c r="Q35" s="9"/>
      <c r="R35" s="9"/>
      <c r="S35" s="9"/>
    </row>
    <row r="36" spans="1:19" x14ac:dyDescent="0.2">
      <c r="A36" s="9"/>
      <c r="B36" s="9"/>
      <c r="C36" s="9"/>
      <c r="D36" s="9"/>
      <c r="E36" s="9"/>
      <c r="F36" s="9"/>
      <c r="G36" s="9"/>
      <c r="H36" s="9"/>
      <c r="I36" s="9"/>
      <c r="J36" s="9"/>
      <c r="K36" s="9"/>
      <c r="L36" s="9"/>
      <c r="M36" s="9"/>
      <c r="N36" s="9"/>
      <c r="O36" s="9"/>
      <c r="P36" s="9"/>
      <c r="Q36" s="9"/>
      <c r="R36" s="9"/>
      <c r="S36" s="9"/>
    </row>
    <row r="37" spans="1:19" x14ac:dyDescent="0.2">
      <c r="A37" s="9"/>
      <c r="B37" s="9"/>
      <c r="C37" s="9"/>
      <c r="D37" s="9"/>
      <c r="E37" s="9"/>
      <c r="F37" s="9"/>
      <c r="G37" s="9"/>
      <c r="H37" s="9"/>
      <c r="I37" s="9"/>
      <c r="J37" s="9"/>
      <c r="K37" s="9"/>
      <c r="L37" s="9"/>
      <c r="M37" s="9"/>
      <c r="N37" s="9"/>
      <c r="O37" s="9"/>
      <c r="P37" s="9"/>
      <c r="Q37" s="9"/>
      <c r="R37" s="9"/>
      <c r="S37" s="9"/>
    </row>
    <row r="38" spans="1:19" x14ac:dyDescent="0.2">
      <c r="A38" s="9"/>
      <c r="B38" s="9"/>
      <c r="C38" s="9"/>
      <c r="D38" s="9"/>
      <c r="E38" s="9"/>
      <c r="F38" s="9"/>
      <c r="G38" s="9"/>
      <c r="H38" s="9"/>
      <c r="I38" s="9"/>
      <c r="J38" s="9"/>
      <c r="K38" s="9"/>
      <c r="L38" s="9"/>
      <c r="M38" s="9"/>
      <c r="N38" s="9"/>
      <c r="O38" s="9"/>
      <c r="P38" s="9"/>
      <c r="Q38" s="9"/>
      <c r="R38" s="9"/>
      <c r="S38" s="9"/>
    </row>
    <row r="39" spans="1:19" x14ac:dyDescent="0.2">
      <c r="A39" s="9"/>
      <c r="B39" s="9"/>
      <c r="C39" s="9"/>
      <c r="D39" s="9"/>
      <c r="E39" s="9"/>
      <c r="F39" s="9"/>
      <c r="G39" s="9"/>
      <c r="H39" s="9"/>
      <c r="I39" s="9"/>
      <c r="J39" s="9"/>
      <c r="K39" s="9"/>
      <c r="L39" s="9"/>
      <c r="M39" s="9"/>
      <c r="N39" s="9"/>
      <c r="O39" s="9"/>
      <c r="P39" s="9"/>
      <c r="Q39" s="9"/>
      <c r="R39" s="9"/>
      <c r="S39" s="9"/>
    </row>
    <row r="40" spans="1:19" x14ac:dyDescent="0.2">
      <c r="A40" s="9"/>
      <c r="B40" s="9"/>
      <c r="C40" s="9"/>
      <c r="D40" s="9"/>
      <c r="E40" s="9"/>
      <c r="F40" s="9"/>
      <c r="G40" s="9"/>
      <c r="H40" s="9"/>
      <c r="I40" s="9"/>
      <c r="J40" s="9"/>
      <c r="K40" s="9"/>
      <c r="L40" s="9"/>
      <c r="M40" s="9"/>
      <c r="N40" s="9"/>
      <c r="O40" s="9"/>
      <c r="P40" s="9"/>
      <c r="Q40" s="9"/>
      <c r="R40" s="9"/>
      <c r="S40" s="9"/>
    </row>
    <row r="41" spans="1:19" x14ac:dyDescent="0.2">
      <c r="A41" s="9"/>
      <c r="B41" s="9"/>
      <c r="C41" s="9"/>
      <c r="D41" s="9"/>
      <c r="E41" s="9"/>
      <c r="F41" s="9"/>
      <c r="G41" s="9"/>
      <c r="H41" s="9"/>
      <c r="I41" s="9"/>
      <c r="J41" s="9"/>
      <c r="K41" s="9"/>
      <c r="L41" s="9"/>
      <c r="M41" s="9"/>
      <c r="N41" s="9"/>
      <c r="O41" s="9"/>
      <c r="P41" s="9"/>
      <c r="Q41" s="9"/>
      <c r="R41" s="9"/>
      <c r="S41" s="9"/>
    </row>
    <row r="42" spans="1:19" x14ac:dyDescent="0.2">
      <c r="A42" s="9"/>
      <c r="B42" s="9"/>
      <c r="C42" s="9"/>
      <c r="D42" s="9"/>
      <c r="E42" s="9"/>
      <c r="F42" s="9"/>
      <c r="G42" s="9"/>
      <c r="H42" s="9"/>
      <c r="I42" s="9"/>
      <c r="J42" s="9"/>
      <c r="K42" s="9"/>
      <c r="L42" s="9"/>
      <c r="M42" s="9"/>
      <c r="N42" s="9"/>
      <c r="O42" s="9"/>
      <c r="P42" s="9"/>
      <c r="Q42" s="9"/>
      <c r="R42" s="9"/>
      <c r="S42" s="9"/>
    </row>
    <row r="43" spans="1:19" x14ac:dyDescent="0.2">
      <c r="A43" s="9"/>
      <c r="B43" s="9"/>
      <c r="C43" s="9"/>
      <c r="D43" s="9"/>
      <c r="E43" s="9"/>
      <c r="F43" s="9"/>
      <c r="G43" s="9"/>
      <c r="H43" s="9"/>
      <c r="I43" s="9"/>
      <c r="J43" s="9"/>
      <c r="K43" s="9"/>
      <c r="L43" s="9"/>
      <c r="M43" s="9"/>
      <c r="N43" s="9"/>
      <c r="O43" s="9"/>
      <c r="P43" s="9"/>
      <c r="Q43" s="9"/>
      <c r="R43" s="9"/>
      <c r="S43" s="9"/>
    </row>
    <row r="44" spans="1:19" x14ac:dyDescent="0.2">
      <c r="A44" s="9"/>
      <c r="B44" s="9"/>
      <c r="C44" s="34" t="s">
        <v>180</v>
      </c>
      <c r="D44" s="34"/>
      <c r="E44" s="9"/>
      <c r="F44" s="9"/>
      <c r="G44" s="9"/>
      <c r="H44" s="9"/>
      <c r="I44" s="9"/>
      <c r="J44" s="9"/>
      <c r="K44" s="9"/>
      <c r="L44" s="9"/>
      <c r="M44" s="9"/>
      <c r="N44" s="9"/>
      <c r="O44" s="9"/>
      <c r="P44" s="9"/>
      <c r="Q44" s="9"/>
      <c r="R44" s="9"/>
      <c r="S44" s="9"/>
    </row>
    <row r="45" spans="1:19" x14ac:dyDescent="0.2">
      <c r="A45" s="9"/>
      <c r="B45" s="9"/>
      <c r="C45" s="34"/>
      <c r="D45" s="34"/>
      <c r="E45" s="9"/>
      <c r="F45" s="9"/>
      <c r="G45" s="9"/>
      <c r="H45" s="9"/>
      <c r="I45" s="9"/>
      <c r="J45" s="9"/>
      <c r="K45" s="9"/>
      <c r="L45" s="9"/>
      <c r="M45" s="9"/>
      <c r="N45" s="9"/>
      <c r="O45" s="9"/>
      <c r="P45" s="9"/>
      <c r="Q45" s="9"/>
      <c r="R45" s="9"/>
      <c r="S45" s="9"/>
    </row>
    <row r="46" spans="1:19" x14ac:dyDescent="0.2">
      <c r="A46" s="9"/>
      <c r="B46" s="9"/>
      <c r="C46" s="9"/>
      <c r="D46" s="9"/>
      <c r="E46" s="9"/>
      <c r="F46" s="9"/>
      <c r="G46" s="9"/>
      <c r="H46" s="9"/>
      <c r="I46" s="9"/>
      <c r="J46" s="9"/>
      <c r="K46" s="9"/>
      <c r="L46" s="9"/>
      <c r="M46" s="9"/>
      <c r="N46" s="9"/>
      <c r="O46" s="9"/>
      <c r="P46" s="9"/>
      <c r="Q46" s="9"/>
      <c r="R46" s="9"/>
      <c r="S46" s="9"/>
    </row>
    <row r="47" spans="1:19" x14ac:dyDescent="0.2">
      <c r="A47" s="9"/>
      <c r="B47" s="9"/>
      <c r="C47" s="5" t="s">
        <v>174</v>
      </c>
      <c r="D47" t="s">
        <v>181</v>
      </c>
      <c r="E47" s="9"/>
      <c r="F47" s="9"/>
      <c r="G47" s="9"/>
      <c r="H47" s="9"/>
      <c r="I47" s="9"/>
      <c r="J47" s="9"/>
      <c r="K47" s="9"/>
      <c r="L47" s="9"/>
      <c r="M47" s="9"/>
      <c r="N47" s="9"/>
      <c r="O47" s="9"/>
      <c r="P47" s="9"/>
      <c r="Q47" s="9"/>
      <c r="R47" s="9"/>
      <c r="S47" s="9"/>
    </row>
    <row r="48" spans="1:19" x14ac:dyDescent="0.2">
      <c r="A48" s="9"/>
      <c r="B48" s="9"/>
      <c r="C48" s="6" t="s">
        <v>13</v>
      </c>
      <c r="D48">
        <v>36</v>
      </c>
      <c r="E48" s="9"/>
      <c r="F48" s="9"/>
      <c r="G48" s="9"/>
      <c r="H48" s="9"/>
      <c r="I48" s="9"/>
      <c r="J48" s="9"/>
      <c r="K48" s="9"/>
      <c r="L48" s="9"/>
      <c r="M48" s="9"/>
      <c r="N48" s="9"/>
      <c r="O48" s="9"/>
      <c r="P48" s="9"/>
      <c r="Q48" s="9"/>
      <c r="R48" s="9"/>
      <c r="S48" s="9"/>
    </row>
    <row r="49" spans="1:19" x14ac:dyDescent="0.2">
      <c r="A49" s="9"/>
      <c r="B49" s="9"/>
      <c r="C49" s="6" t="s">
        <v>24</v>
      </c>
      <c r="D49">
        <v>38</v>
      </c>
      <c r="E49" s="9"/>
      <c r="F49" s="9"/>
      <c r="G49" s="9"/>
      <c r="H49" s="9"/>
      <c r="I49" s="9"/>
      <c r="J49" s="9"/>
      <c r="K49" s="9"/>
      <c r="L49" s="9"/>
      <c r="M49" s="9"/>
      <c r="N49" s="9"/>
      <c r="O49" s="9"/>
      <c r="P49" s="9"/>
      <c r="Q49" s="9"/>
      <c r="R49" s="9"/>
      <c r="S49" s="9"/>
    </row>
    <row r="50" spans="1:19" x14ac:dyDescent="0.2">
      <c r="A50" s="9"/>
      <c r="B50" s="9"/>
      <c r="C50" s="6" t="s">
        <v>59</v>
      </c>
      <c r="D50">
        <v>34</v>
      </c>
      <c r="E50" s="9"/>
      <c r="F50" s="9"/>
      <c r="G50" s="9"/>
      <c r="H50" s="9"/>
      <c r="I50" s="9"/>
      <c r="J50" s="9"/>
      <c r="K50" s="9"/>
      <c r="L50" s="9"/>
      <c r="M50" s="9"/>
      <c r="N50" s="9"/>
      <c r="O50" s="9"/>
      <c r="P50" s="9"/>
      <c r="Q50" s="9"/>
      <c r="R50" s="9"/>
      <c r="S50" s="9"/>
    </row>
    <row r="51" spans="1:19" x14ac:dyDescent="0.2">
      <c r="A51" s="9"/>
      <c r="B51" s="9"/>
      <c r="C51" s="6" t="s">
        <v>38</v>
      </c>
      <c r="D51">
        <v>50</v>
      </c>
      <c r="E51" s="9"/>
      <c r="F51" s="9"/>
      <c r="G51" s="9"/>
      <c r="H51" s="9"/>
      <c r="I51" s="9"/>
      <c r="J51" s="9"/>
      <c r="K51" s="9"/>
      <c r="L51" s="9"/>
      <c r="M51" s="9"/>
      <c r="N51" s="9"/>
      <c r="O51" s="9"/>
      <c r="P51" s="9"/>
      <c r="Q51" s="9"/>
      <c r="R51" s="9"/>
      <c r="S51" s="9"/>
    </row>
    <row r="52" spans="1:19" x14ac:dyDescent="0.2">
      <c r="A52" s="9"/>
      <c r="B52" s="9"/>
      <c r="C52" s="6" t="s">
        <v>50</v>
      </c>
      <c r="D52">
        <v>57</v>
      </c>
      <c r="E52" s="9"/>
      <c r="F52" s="9"/>
      <c r="G52" s="9"/>
      <c r="H52" s="9"/>
      <c r="I52" s="9"/>
      <c r="J52" s="9"/>
      <c r="K52" s="9"/>
      <c r="L52" s="9"/>
      <c r="M52" s="9"/>
      <c r="N52" s="9"/>
      <c r="O52" s="9"/>
      <c r="P52" s="9"/>
      <c r="Q52" s="9"/>
      <c r="R52" s="9"/>
      <c r="S52" s="9"/>
    </row>
    <row r="53" spans="1:19" x14ac:dyDescent="0.2">
      <c r="A53" s="9"/>
      <c r="B53" s="9"/>
      <c r="C53" s="6" t="s">
        <v>31</v>
      </c>
      <c r="D53">
        <v>37</v>
      </c>
      <c r="E53" s="9"/>
      <c r="F53" s="9"/>
      <c r="G53" s="9"/>
      <c r="H53" s="9"/>
      <c r="I53" s="9"/>
      <c r="J53" s="9"/>
      <c r="K53" s="9"/>
      <c r="L53" s="9"/>
      <c r="M53" s="9"/>
      <c r="N53" s="9"/>
      <c r="O53" s="9"/>
      <c r="P53" s="9"/>
      <c r="Q53" s="9"/>
      <c r="R53" s="9"/>
      <c r="S53" s="9"/>
    </row>
    <row r="54" spans="1:19" x14ac:dyDescent="0.2">
      <c r="A54" s="9"/>
      <c r="B54" s="9"/>
      <c r="C54" s="6" t="s">
        <v>175</v>
      </c>
      <c r="D54">
        <v>252</v>
      </c>
      <c r="E54" s="9"/>
      <c r="F54" s="9"/>
      <c r="G54" s="9"/>
      <c r="H54" s="9"/>
      <c r="I54" s="9"/>
      <c r="J54" s="9"/>
      <c r="K54" s="9"/>
      <c r="L54" s="9"/>
      <c r="M54" s="9"/>
      <c r="N54" s="9"/>
      <c r="O54" s="9"/>
      <c r="P54" s="9"/>
      <c r="Q54" s="9"/>
      <c r="R54" s="9"/>
      <c r="S54" s="9"/>
    </row>
    <row r="55" spans="1:19" x14ac:dyDescent="0.2">
      <c r="A55" s="9"/>
      <c r="B55" s="9"/>
      <c r="C55" s="9"/>
      <c r="D55" s="9"/>
      <c r="E55" s="9"/>
      <c r="F55" s="9"/>
      <c r="G55" s="9"/>
      <c r="H55" s="9"/>
      <c r="I55" s="9"/>
      <c r="J55" s="9"/>
      <c r="K55" s="9"/>
      <c r="L55" s="9"/>
      <c r="M55" s="9"/>
      <c r="N55" s="9"/>
      <c r="O55" s="9"/>
      <c r="P55" s="9"/>
      <c r="Q55" s="9"/>
      <c r="R55" s="9"/>
      <c r="S55" s="9"/>
    </row>
    <row r="56" spans="1:19" x14ac:dyDescent="0.2">
      <c r="A56" s="9"/>
      <c r="B56" s="9"/>
      <c r="C56" s="9"/>
      <c r="D56" s="9"/>
      <c r="E56" s="9"/>
      <c r="F56" s="9"/>
      <c r="G56" s="9"/>
      <c r="H56" s="9"/>
      <c r="I56" s="9"/>
      <c r="J56" s="9"/>
      <c r="K56" s="9"/>
      <c r="L56" s="9"/>
      <c r="M56" s="9"/>
      <c r="N56" s="9"/>
      <c r="O56" s="9"/>
      <c r="P56" s="9"/>
      <c r="Q56" s="9"/>
      <c r="R56" s="9"/>
      <c r="S56" s="9"/>
    </row>
    <row r="57" spans="1:19" x14ac:dyDescent="0.2">
      <c r="A57" s="9"/>
      <c r="B57" s="9"/>
      <c r="C57" s="9"/>
      <c r="D57" s="9"/>
      <c r="E57" s="9"/>
      <c r="F57" s="9"/>
      <c r="G57" s="9"/>
      <c r="H57" s="9"/>
      <c r="I57" s="9"/>
      <c r="J57" s="9"/>
      <c r="K57" s="9"/>
      <c r="L57" s="9"/>
      <c r="M57" s="9"/>
      <c r="N57" s="9"/>
      <c r="O57" s="9"/>
      <c r="P57" s="9"/>
      <c r="Q57" s="9"/>
      <c r="R57" s="9"/>
      <c r="S57" s="9"/>
    </row>
    <row r="58" spans="1:19" x14ac:dyDescent="0.2">
      <c r="A58" s="9"/>
      <c r="B58" s="9"/>
      <c r="C58" s="9"/>
      <c r="D58" s="9"/>
      <c r="E58" s="9"/>
      <c r="F58" s="9"/>
      <c r="G58" s="9"/>
      <c r="H58" s="9"/>
      <c r="I58" s="9"/>
      <c r="J58" s="9"/>
      <c r="K58" s="9"/>
      <c r="L58" s="9"/>
      <c r="M58" s="9"/>
      <c r="N58" s="9"/>
      <c r="O58" s="9"/>
      <c r="P58" s="9"/>
      <c r="Q58" s="9"/>
      <c r="R58" s="9"/>
      <c r="S58" s="9"/>
    </row>
    <row r="59" spans="1:19" x14ac:dyDescent="0.2">
      <c r="A59" s="9"/>
      <c r="B59" s="9"/>
      <c r="C59" s="9"/>
      <c r="D59" s="9"/>
      <c r="E59" s="9"/>
      <c r="F59" s="9"/>
      <c r="G59" s="9"/>
      <c r="H59" s="9"/>
      <c r="I59" s="9"/>
      <c r="J59" s="9"/>
      <c r="K59" s="9"/>
      <c r="L59" s="9"/>
      <c r="M59" s="9"/>
      <c r="N59" s="9"/>
      <c r="O59" s="9"/>
      <c r="P59" s="9"/>
      <c r="Q59" s="9"/>
      <c r="R59" s="9"/>
      <c r="S59" s="9"/>
    </row>
    <row r="60" spans="1:19" x14ac:dyDescent="0.2">
      <c r="A60" s="9"/>
      <c r="B60" s="9"/>
      <c r="C60" s="9"/>
      <c r="D60" s="9"/>
      <c r="E60" s="9"/>
      <c r="F60" s="9"/>
      <c r="G60" s="9"/>
      <c r="H60" s="9"/>
      <c r="I60" s="9"/>
      <c r="J60" s="9"/>
      <c r="K60" s="9"/>
      <c r="L60" s="9"/>
      <c r="M60" s="9"/>
      <c r="N60" s="9"/>
      <c r="O60" s="9"/>
      <c r="P60" s="9"/>
      <c r="Q60" s="9"/>
      <c r="R60" s="9"/>
      <c r="S60" s="9"/>
    </row>
    <row r="61" spans="1:19" x14ac:dyDescent="0.2">
      <c r="A61" s="9"/>
      <c r="B61" s="9"/>
      <c r="C61" s="9"/>
      <c r="D61" s="9"/>
      <c r="E61" s="9"/>
      <c r="F61" s="9"/>
      <c r="G61" s="9"/>
      <c r="H61" s="9"/>
      <c r="I61" s="9"/>
      <c r="J61" s="9"/>
      <c r="K61" s="9"/>
      <c r="L61" s="9"/>
      <c r="M61" s="9"/>
      <c r="N61" s="9"/>
      <c r="O61" s="9"/>
      <c r="P61" s="9"/>
      <c r="Q61" s="9"/>
      <c r="R61" s="9"/>
      <c r="S61" s="9"/>
    </row>
    <row r="62" spans="1:19" x14ac:dyDescent="0.2">
      <c r="A62" s="9"/>
      <c r="B62" s="9"/>
      <c r="C62" s="34" t="s">
        <v>182</v>
      </c>
      <c r="D62" s="34"/>
      <c r="E62" s="9"/>
      <c r="F62" s="9"/>
      <c r="G62" s="9"/>
      <c r="H62" s="9"/>
      <c r="I62" s="9"/>
      <c r="J62" s="9"/>
      <c r="K62" s="9"/>
      <c r="L62" s="9"/>
      <c r="M62" s="9"/>
      <c r="N62" s="9"/>
      <c r="O62" s="9"/>
      <c r="P62" s="9"/>
      <c r="Q62" s="9"/>
      <c r="R62" s="9"/>
      <c r="S62" s="9"/>
    </row>
    <row r="63" spans="1:19" x14ac:dyDescent="0.2">
      <c r="A63" s="9"/>
      <c r="B63" s="9"/>
      <c r="C63" s="34"/>
      <c r="D63" s="34"/>
      <c r="E63" s="9"/>
      <c r="F63" s="9"/>
      <c r="G63" s="9"/>
      <c r="H63" s="9"/>
      <c r="I63" s="9"/>
      <c r="J63" s="9"/>
      <c r="K63" s="9"/>
      <c r="L63" s="9"/>
      <c r="M63" s="9"/>
      <c r="N63" s="9"/>
      <c r="O63" s="9"/>
      <c r="P63" s="9"/>
      <c r="Q63" s="9"/>
      <c r="R63" s="9"/>
      <c r="S63" s="9"/>
    </row>
    <row r="64" spans="1:19" x14ac:dyDescent="0.2">
      <c r="A64" s="9"/>
      <c r="B64" s="9"/>
      <c r="C64" s="9"/>
      <c r="D64" s="9"/>
      <c r="E64" s="9"/>
      <c r="F64" s="9"/>
      <c r="G64" s="9"/>
      <c r="H64" s="9"/>
      <c r="I64" s="9"/>
      <c r="J64" s="9"/>
      <c r="K64" s="9"/>
      <c r="L64" s="9"/>
      <c r="M64" s="9"/>
      <c r="N64" s="9"/>
      <c r="O64" s="9"/>
      <c r="P64" s="9"/>
      <c r="Q64" s="9"/>
      <c r="R64" s="9"/>
      <c r="S64" s="9"/>
    </row>
    <row r="65" spans="1:19" x14ac:dyDescent="0.2">
      <c r="A65" s="9"/>
      <c r="B65" s="9"/>
      <c r="C65" s="5" t="s">
        <v>174</v>
      </c>
      <c r="D65" t="s">
        <v>176</v>
      </c>
      <c r="E65" s="9"/>
      <c r="F65" s="9"/>
      <c r="G65" s="9"/>
      <c r="H65" s="9"/>
      <c r="I65" s="9"/>
      <c r="J65" s="9"/>
      <c r="K65" s="9"/>
      <c r="L65" s="9"/>
      <c r="M65" s="9"/>
      <c r="N65" s="9"/>
      <c r="O65" s="9"/>
      <c r="P65" s="9"/>
      <c r="Q65" s="9"/>
      <c r="R65" s="9"/>
      <c r="S65" s="9"/>
    </row>
    <row r="66" spans="1:19" x14ac:dyDescent="0.2">
      <c r="A66" s="9"/>
      <c r="B66" s="9"/>
      <c r="C66" s="6" t="s">
        <v>32</v>
      </c>
      <c r="D66">
        <v>15</v>
      </c>
      <c r="E66" s="9"/>
      <c r="F66" s="9"/>
      <c r="G66" s="9"/>
      <c r="H66" s="9"/>
      <c r="I66" s="9"/>
      <c r="J66" s="9"/>
      <c r="K66" s="9"/>
      <c r="L66" s="9"/>
      <c r="M66" s="9"/>
      <c r="N66" s="9"/>
      <c r="O66" s="9"/>
      <c r="P66" s="9"/>
      <c r="Q66" s="9"/>
      <c r="R66" s="9"/>
      <c r="S66" s="9"/>
    </row>
    <row r="67" spans="1:19" x14ac:dyDescent="0.2">
      <c r="A67" s="9"/>
      <c r="B67" s="9"/>
      <c r="C67" s="6" t="s">
        <v>22</v>
      </c>
      <c r="D67">
        <v>14</v>
      </c>
      <c r="E67" s="9"/>
      <c r="F67" s="9"/>
      <c r="G67" s="9"/>
      <c r="H67" s="9"/>
      <c r="I67" s="9"/>
      <c r="J67" s="9"/>
      <c r="K67" s="9"/>
      <c r="L67" s="9"/>
      <c r="M67" s="9"/>
      <c r="N67" s="9"/>
      <c r="O67" s="9"/>
      <c r="P67" s="9"/>
      <c r="Q67" s="9"/>
      <c r="R67" s="9"/>
      <c r="S67" s="9"/>
    </row>
    <row r="68" spans="1:19" x14ac:dyDescent="0.2">
      <c r="A68" s="9"/>
      <c r="B68" s="9"/>
      <c r="C68" s="6" t="s">
        <v>41</v>
      </c>
      <c r="D68">
        <v>20</v>
      </c>
      <c r="E68" s="9"/>
      <c r="F68" s="9"/>
      <c r="G68" s="9"/>
      <c r="H68" s="9"/>
      <c r="I68" s="9"/>
      <c r="J68" s="9"/>
      <c r="K68" s="9"/>
      <c r="L68" s="9"/>
      <c r="M68" s="9"/>
      <c r="N68" s="9"/>
      <c r="O68" s="9"/>
      <c r="P68" s="9"/>
      <c r="Q68" s="9"/>
      <c r="R68" s="9"/>
      <c r="S68" s="9"/>
    </row>
    <row r="69" spans="1:19" x14ac:dyDescent="0.2">
      <c r="A69" s="9"/>
      <c r="B69" s="9"/>
      <c r="C69" s="6" t="s">
        <v>17</v>
      </c>
      <c r="D69">
        <v>17</v>
      </c>
      <c r="E69" s="9"/>
      <c r="F69" s="9"/>
      <c r="G69" s="9"/>
      <c r="H69" s="9"/>
      <c r="I69" s="9"/>
      <c r="J69" s="9"/>
      <c r="K69" s="9"/>
      <c r="L69" s="9"/>
      <c r="M69" s="9"/>
      <c r="N69" s="9"/>
      <c r="O69" s="9"/>
      <c r="P69" s="9"/>
      <c r="Q69" s="9"/>
      <c r="R69" s="9"/>
      <c r="S69" s="9"/>
    </row>
    <row r="70" spans="1:19" x14ac:dyDescent="0.2">
      <c r="A70" s="9"/>
      <c r="B70" s="9"/>
      <c r="C70" s="6" t="s">
        <v>44</v>
      </c>
      <c r="D70">
        <v>20</v>
      </c>
      <c r="E70" s="9"/>
      <c r="F70" s="9"/>
      <c r="G70" s="9"/>
      <c r="H70" s="9"/>
      <c r="I70" s="9"/>
      <c r="J70" s="9"/>
      <c r="K70" s="9"/>
      <c r="L70" s="9"/>
      <c r="M70" s="9"/>
      <c r="N70" s="9"/>
      <c r="O70" s="9"/>
      <c r="P70" s="9"/>
      <c r="Q70" s="9"/>
      <c r="R70" s="9"/>
      <c r="S70" s="9"/>
    </row>
    <row r="71" spans="1:19" x14ac:dyDescent="0.2">
      <c r="A71" s="9"/>
      <c r="B71" s="9"/>
      <c r="C71" s="6" t="s">
        <v>36</v>
      </c>
      <c r="D71">
        <v>14</v>
      </c>
      <c r="E71" s="9"/>
      <c r="F71" s="9"/>
      <c r="G71" s="9"/>
      <c r="H71" s="9"/>
      <c r="I71" s="9"/>
      <c r="J71" s="9"/>
      <c r="K71" s="9"/>
      <c r="L71" s="9"/>
      <c r="M71" s="9"/>
      <c r="N71" s="9"/>
      <c r="O71" s="9"/>
      <c r="P71" s="9"/>
      <c r="Q71" s="9"/>
      <c r="R71" s="9"/>
      <c r="S71" s="9"/>
    </row>
    <row r="72" spans="1:19" x14ac:dyDescent="0.2">
      <c r="A72" s="9"/>
      <c r="B72" s="9"/>
      <c r="C72" s="6" t="s">
        <v>175</v>
      </c>
      <c r="D72">
        <v>100</v>
      </c>
      <c r="E72" s="9"/>
      <c r="F72" s="9"/>
      <c r="G72" s="9"/>
      <c r="H72" s="9"/>
      <c r="I72" s="9"/>
      <c r="J72" s="9"/>
      <c r="K72" s="9"/>
      <c r="L72" s="9"/>
      <c r="M72" s="9"/>
      <c r="N72" s="9"/>
      <c r="O72" s="9"/>
      <c r="P72" s="9"/>
      <c r="Q72" s="9"/>
      <c r="R72" s="9"/>
      <c r="S72" s="9"/>
    </row>
    <row r="73" spans="1:19" x14ac:dyDescent="0.2">
      <c r="A73" s="9"/>
      <c r="B73" s="9"/>
      <c r="C73" s="9"/>
      <c r="D73" s="9"/>
      <c r="E73" s="9"/>
      <c r="F73" s="9"/>
      <c r="G73" s="9"/>
      <c r="H73" s="9"/>
      <c r="I73" s="9"/>
      <c r="J73" s="9"/>
      <c r="K73" s="9"/>
      <c r="L73" s="9"/>
      <c r="M73" s="9"/>
      <c r="N73" s="9"/>
      <c r="O73" s="9"/>
      <c r="P73" s="9"/>
      <c r="Q73" s="9"/>
      <c r="R73" s="9"/>
      <c r="S73" s="9"/>
    </row>
    <row r="74" spans="1:19" x14ac:dyDescent="0.2">
      <c r="A74" s="9"/>
      <c r="B74" s="9"/>
      <c r="C74" s="9"/>
      <c r="D74" s="9"/>
      <c r="E74" s="9"/>
      <c r="F74" s="9"/>
      <c r="G74" s="9"/>
      <c r="H74" s="9"/>
      <c r="I74" s="9"/>
      <c r="J74" s="9"/>
      <c r="K74" s="9"/>
      <c r="L74" s="9"/>
      <c r="M74" s="9"/>
      <c r="N74" s="9"/>
      <c r="O74" s="9"/>
      <c r="P74" s="9"/>
      <c r="Q74" s="9"/>
      <c r="R74" s="9"/>
      <c r="S74" s="9"/>
    </row>
    <row r="75" spans="1:19" x14ac:dyDescent="0.2">
      <c r="A75" s="9"/>
      <c r="B75" s="9"/>
      <c r="C75" s="9"/>
      <c r="D75" s="9"/>
      <c r="E75" s="9"/>
      <c r="F75" s="9"/>
      <c r="G75" s="9"/>
      <c r="H75" s="9"/>
      <c r="I75" s="9"/>
      <c r="J75" s="9"/>
      <c r="K75" s="9"/>
      <c r="L75" s="9"/>
      <c r="M75" s="9"/>
      <c r="N75" s="9"/>
      <c r="O75" s="9"/>
      <c r="P75" s="9"/>
      <c r="Q75" s="9"/>
      <c r="R75" s="9"/>
      <c r="S75" s="9"/>
    </row>
    <row r="76" spans="1:19" x14ac:dyDescent="0.2">
      <c r="A76" s="9"/>
      <c r="B76" s="9"/>
      <c r="C76" s="9"/>
      <c r="D76" s="9"/>
      <c r="E76" s="9"/>
      <c r="F76" s="9"/>
      <c r="G76" s="9"/>
      <c r="H76" s="9"/>
      <c r="I76" s="9"/>
      <c r="J76" s="9"/>
      <c r="K76" s="9"/>
      <c r="L76" s="9"/>
      <c r="M76" s="9"/>
      <c r="N76" s="9"/>
      <c r="O76" s="9"/>
      <c r="P76" s="9"/>
      <c r="Q76" s="9"/>
      <c r="R76" s="9"/>
      <c r="S76" s="9"/>
    </row>
    <row r="77" spans="1:19" x14ac:dyDescent="0.2">
      <c r="A77" s="9"/>
      <c r="B77" s="9"/>
      <c r="C77" s="9"/>
      <c r="D77" s="9"/>
      <c r="E77" s="9"/>
      <c r="F77" s="9"/>
      <c r="G77" s="9"/>
      <c r="H77" s="9"/>
      <c r="I77" s="9"/>
      <c r="J77" s="9"/>
      <c r="K77" s="9"/>
      <c r="L77" s="9"/>
      <c r="M77" s="9"/>
      <c r="N77" s="9"/>
      <c r="O77" s="9"/>
      <c r="P77" s="9"/>
      <c r="Q77" s="9"/>
      <c r="R77" s="9"/>
      <c r="S77" s="9"/>
    </row>
    <row r="78" spans="1:19" x14ac:dyDescent="0.2">
      <c r="A78" s="9"/>
      <c r="B78" s="9"/>
      <c r="C78" s="9"/>
      <c r="D78" s="9"/>
      <c r="E78" s="9"/>
      <c r="F78" s="9"/>
      <c r="G78" s="9"/>
      <c r="H78" s="9"/>
      <c r="I78" s="9"/>
      <c r="J78" s="9"/>
      <c r="K78" s="9"/>
      <c r="L78" s="9"/>
      <c r="M78" s="9"/>
      <c r="N78" s="9"/>
      <c r="O78" s="9"/>
      <c r="P78" s="9"/>
      <c r="Q78" s="9"/>
      <c r="R78" s="9"/>
      <c r="S78" s="9"/>
    </row>
    <row r="79" spans="1:19" x14ac:dyDescent="0.2">
      <c r="A79" s="9"/>
      <c r="B79" s="9"/>
      <c r="C79" s="9"/>
      <c r="D79" s="9"/>
      <c r="E79" s="9"/>
      <c r="F79" s="9"/>
      <c r="G79" s="9"/>
      <c r="H79" s="9"/>
      <c r="I79" s="9"/>
      <c r="J79" s="9"/>
      <c r="K79" s="9"/>
      <c r="L79" s="9"/>
      <c r="M79" s="9"/>
      <c r="N79" s="9"/>
      <c r="O79" s="9"/>
      <c r="P79" s="9"/>
      <c r="Q79" s="9"/>
      <c r="R79" s="9"/>
      <c r="S79" s="9"/>
    </row>
    <row r="80" spans="1:19" ht="12.75" customHeight="1" x14ac:dyDescent="0.2">
      <c r="A80" s="9"/>
      <c r="B80" s="9"/>
      <c r="C80" s="34" t="s">
        <v>183</v>
      </c>
      <c r="D80" s="34"/>
      <c r="E80" s="34"/>
      <c r="F80" s="9"/>
      <c r="G80" s="9"/>
      <c r="H80" s="9"/>
      <c r="I80" s="9"/>
      <c r="J80" s="9"/>
      <c r="K80" s="9"/>
      <c r="L80" s="9"/>
      <c r="M80" s="9"/>
      <c r="N80" s="9"/>
      <c r="O80" s="9"/>
      <c r="P80" s="9"/>
      <c r="Q80" s="9"/>
      <c r="R80" s="9"/>
      <c r="S80" s="9"/>
    </row>
    <row r="81" spans="1:19" ht="12.75" customHeight="1" x14ac:dyDescent="0.2">
      <c r="A81" s="9"/>
      <c r="B81" s="9"/>
      <c r="C81" s="34"/>
      <c r="D81" s="34"/>
      <c r="E81" s="34"/>
      <c r="F81" s="9"/>
      <c r="G81" s="9"/>
      <c r="H81" s="9"/>
      <c r="I81" s="9"/>
      <c r="J81" s="9"/>
      <c r="K81" s="9"/>
      <c r="L81" s="9"/>
      <c r="M81" s="9"/>
      <c r="N81" s="9"/>
      <c r="O81" s="9"/>
      <c r="P81" s="9"/>
      <c r="Q81" s="9"/>
      <c r="R81" s="9"/>
      <c r="S81" s="9"/>
    </row>
    <row r="82" spans="1:19" ht="12.75" customHeight="1" x14ac:dyDescent="0.2">
      <c r="A82" s="9"/>
      <c r="B82" s="9"/>
      <c r="C82" s="34"/>
      <c r="D82" s="34"/>
      <c r="E82" s="34"/>
      <c r="F82" s="9"/>
      <c r="G82" s="9"/>
      <c r="H82" s="9"/>
      <c r="I82" s="9"/>
      <c r="J82" s="9"/>
      <c r="K82" s="9"/>
      <c r="L82" s="9"/>
      <c r="M82" s="9"/>
      <c r="N82" s="9"/>
      <c r="O82" s="9"/>
      <c r="P82" s="9"/>
      <c r="Q82" s="9"/>
      <c r="R82" s="9"/>
      <c r="S82" s="9"/>
    </row>
    <row r="83" spans="1:19" x14ac:dyDescent="0.2">
      <c r="A83" s="9"/>
      <c r="B83" s="9"/>
      <c r="C83" s="9"/>
      <c r="D83" s="9"/>
      <c r="E83" s="9"/>
      <c r="F83" s="9"/>
      <c r="G83" s="9"/>
      <c r="H83" s="9"/>
      <c r="I83" s="9"/>
      <c r="J83" s="9"/>
      <c r="K83" s="9"/>
      <c r="L83" s="9"/>
      <c r="M83" s="9"/>
      <c r="N83" s="9"/>
      <c r="O83" s="9"/>
      <c r="P83" s="9"/>
      <c r="Q83" s="9"/>
      <c r="R83" s="9"/>
      <c r="S83" s="9"/>
    </row>
    <row r="84" spans="1:19" x14ac:dyDescent="0.2">
      <c r="A84" s="9"/>
      <c r="B84" s="9"/>
      <c r="C84" s="9"/>
      <c r="D84" s="9"/>
      <c r="E84" s="9"/>
      <c r="F84" s="9"/>
      <c r="G84" s="9"/>
      <c r="H84" s="9"/>
      <c r="I84" s="9"/>
      <c r="J84" s="9"/>
      <c r="K84" s="9"/>
      <c r="L84" s="9"/>
      <c r="M84" s="9"/>
      <c r="N84" s="9"/>
      <c r="O84" s="9"/>
      <c r="P84" s="9"/>
      <c r="Q84" s="9"/>
      <c r="R84" s="9"/>
      <c r="S84" s="9"/>
    </row>
    <row r="85" spans="1:19" x14ac:dyDescent="0.2">
      <c r="A85" s="9"/>
      <c r="B85" s="9"/>
      <c r="C85" s="5" t="s">
        <v>174</v>
      </c>
      <c r="D85" t="s">
        <v>176</v>
      </c>
      <c r="E85" s="9"/>
      <c r="F85" s="9"/>
      <c r="G85" s="9"/>
      <c r="H85" s="9"/>
      <c r="I85" s="9"/>
      <c r="J85" s="9"/>
      <c r="K85" s="9"/>
      <c r="L85" s="9"/>
      <c r="M85" s="9"/>
      <c r="N85" s="9"/>
      <c r="O85" s="9"/>
      <c r="P85" s="9"/>
      <c r="Q85" s="9"/>
      <c r="R85" s="9"/>
      <c r="S85" s="9"/>
    </row>
    <row r="86" spans="1:19" x14ac:dyDescent="0.2">
      <c r="A86" s="9"/>
      <c r="B86" s="9"/>
      <c r="C86" s="6" t="s">
        <v>14</v>
      </c>
      <c r="D86">
        <v>30</v>
      </c>
      <c r="E86" s="9"/>
      <c r="F86" s="9"/>
      <c r="G86" s="9"/>
      <c r="H86" s="9"/>
      <c r="I86" s="9"/>
      <c r="J86" s="9"/>
      <c r="K86" s="9"/>
      <c r="L86" s="9"/>
      <c r="M86" s="9"/>
      <c r="N86" s="9"/>
      <c r="O86" s="9"/>
      <c r="P86" s="9"/>
      <c r="Q86" s="9"/>
      <c r="R86" s="9"/>
      <c r="S86" s="9"/>
    </row>
    <row r="87" spans="1:19" x14ac:dyDescent="0.2">
      <c r="A87" s="9"/>
      <c r="B87" s="9"/>
      <c r="C87" s="6" t="s">
        <v>20</v>
      </c>
      <c r="D87">
        <v>23</v>
      </c>
      <c r="E87" s="9"/>
      <c r="F87" s="9"/>
      <c r="G87" s="9"/>
      <c r="H87" s="9"/>
      <c r="I87" s="9"/>
      <c r="J87" s="9"/>
      <c r="K87" s="9"/>
      <c r="L87" s="9"/>
      <c r="M87" s="9"/>
      <c r="N87" s="9"/>
      <c r="O87" s="9"/>
      <c r="P87" s="9"/>
      <c r="Q87" s="9"/>
      <c r="R87" s="9"/>
      <c r="S87" s="9"/>
    </row>
    <row r="88" spans="1:19" x14ac:dyDescent="0.2">
      <c r="A88" s="9"/>
      <c r="B88" s="9"/>
      <c r="C88" s="6" t="s">
        <v>39</v>
      </c>
      <c r="D88">
        <v>22</v>
      </c>
      <c r="E88" s="9"/>
      <c r="F88" s="9"/>
      <c r="G88" s="9"/>
      <c r="H88" s="9"/>
      <c r="I88" s="9"/>
      <c r="J88" s="9"/>
      <c r="K88" s="9"/>
      <c r="L88" s="9"/>
      <c r="M88" s="9"/>
      <c r="N88" s="9"/>
      <c r="O88" s="9"/>
      <c r="P88" s="9"/>
      <c r="Q88" s="9"/>
      <c r="R88" s="9"/>
      <c r="S88" s="9"/>
    </row>
    <row r="89" spans="1:19" x14ac:dyDescent="0.2">
      <c r="A89" s="9"/>
      <c r="B89" s="9"/>
      <c r="C89" s="6" t="s">
        <v>25</v>
      </c>
      <c r="D89">
        <v>25</v>
      </c>
      <c r="E89" s="9"/>
      <c r="F89" s="9"/>
      <c r="G89" s="9"/>
      <c r="H89" s="9"/>
      <c r="I89" s="9"/>
      <c r="J89" s="9"/>
      <c r="K89" s="9"/>
      <c r="L89" s="9"/>
      <c r="M89" s="9"/>
      <c r="N89" s="9"/>
      <c r="O89" s="9"/>
      <c r="P89" s="9"/>
      <c r="Q89" s="9"/>
      <c r="R89" s="9"/>
      <c r="S89" s="9"/>
    </row>
    <row r="90" spans="1:19" x14ac:dyDescent="0.2">
      <c r="A90" s="9"/>
      <c r="B90" s="9"/>
      <c r="C90" s="6" t="s">
        <v>175</v>
      </c>
      <c r="D90">
        <v>100</v>
      </c>
      <c r="E90" s="9"/>
      <c r="F90" s="9"/>
      <c r="G90" s="9"/>
      <c r="H90" s="9"/>
      <c r="I90" s="9"/>
      <c r="J90" s="9"/>
      <c r="K90" s="9"/>
      <c r="L90" s="9"/>
      <c r="M90" s="9"/>
      <c r="N90" s="9"/>
      <c r="O90" s="9"/>
      <c r="P90" s="9"/>
      <c r="Q90" s="9"/>
      <c r="R90" s="9"/>
      <c r="S90" s="9"/>
    </row>
    <row r="91" spans="1:19" x14ac:dyDescent="0.2">
      <c r="A91" s="9"/>
      <c r="B91" s="9"/>
      <c r="C91" s="9"/>
      <c r="D91" s="9"/>
      <c r="E91" s="9"/>
      <c r="F91" s="9"/>
      <c r="G91" s="9"/>
      <c r="H91" s="9"/>
      <c r="I91" s="9"/>
      <c r="J91" s="9"/>
      <c r="K91" s="9"/>
      <c r="L91" s="9"/>
      <c r="M91" s="9"/>
      <c r="N91" s="9"/>
      <c r="O91" s="9"/>
      <c r="P91" s="9"/>
      <c r="Q91" s="9"/>
      <c r="R91" s="9"/>
      <c r="S91" s="9"/>
    </row>
    <row r="92" spans="1:19" x14ac:dyDescent="0.2">
      <c r="A92" s="9"/>
      <c r="B92" s="9"/>
      <c r="C92" s="9"/>
      <c r="D92" s="9"/>
      <c r="E92" s="9"/>
      <c r="F92" s="9"/>
      <c r="G92" s="9"/>
      <c r="H92" s="9"/>
      <c r="I92" s="9"/>
      <c r="J92" s="9"/>
      <c r="K92" s="9"/>
      <c r="L92" s="9"/>
      <c r="M92" s="9"/>
      <c r="N92" s="9"/>
      <c r="O92" s="9"/>
      <c r="P92" s="9"/>
      <c r="Q92" s="9"/>
      <c r="R92" s="9"/>
      <c r="S92" s="9"/>
    </row>
    <row r="93" spans="1:19" x14ac:dyDescent="0.2">
      <c r="A93" s="9"/>
      <c r="B93" s="9"/>
      <c r="C93" s="9"/>
      <c r="D93" s="9"/>
      <c r="E93" s="9"/>
      <c r="F93" s="9"/>
      <c r="G93" s="9"/>
      <c r="H93" s="9"/>
      <c r="I93" s="9"/>
      <c r="J93" s="9"/>
      <c r="K93" s="9"/>
      <c r="L93" s="9"/>
      <c r="M93" s="9"/>
      <c r="N93" s="9"/>
      <c r="O93" s="9"/>
      <c r="P93" s="9"/>
      <c r="Q93" s="9"/>
      <c r="R93" s="9"/>
      <c r="S93" s="9"/>
    </row>
    <row r="94" spans="1:19" x14ac:dyDescent="0.2">
      <c r="A94" s="9"/>
      <c r="B94" s="9"/>
      <c r="C94" s="9"/>
      <c r="D94" s="9"/>
      <c r="E94" s="9"/>
      <c r="F94" s="9"/>
      <c r="G94" s="9"/>
      <c r="H94" s="9"/>
      <c r="I94" s="9"/>
      <c r="J94" s="9"/>
      <c r="K94" s="9"/>
      <c r="L94" s="9"/>
      <c r="M94" s="9"/>
      <c r="N94" s="9"/>
      <c r="O94" s="9"/>
      <c r="P94" s="9"/>
      <c r="Q94" s="9"/>
      <c r="R94" s="9"/>
      <c r="S94" s="9"/>
    </row>
    <row r="95" spans="1:19" x14ac:dyDescent="0.2">
      <c r="A95" s="9"/>
      <c r="B95" s="9"/>
      <c r="C95" s="9"/>
      <c r="D95" s="9"/>
      <c r="E95" s="9"/>
      <c r="F95" s="9"/>
      <c r="G95" s="9"/>
      <c r="H95" s="9"/>
      <c r="I95" s="9"/>
      <c r="J95" s="9"/>
      <c r="K95" s="9"/>
      <c r="L95" s="9"/>
      <c r="M95" s="9"/>
      <c r="N95" s="9"/>
      <c r="O95" s="9"/>
      <c r="P95" s="9"/>
      <c r="Q95" s="9"/>
      <c r="R95" s="9"/>
      <c r="S95" s="9"/>
    </row>
    <row r="96" spans="1:19" x14ac:dyDescent="0.2">
      <c r="A96" s="9"/>
      <c r="B96" s="9"/>
      <c r="C96" s="9"/>
      <c r="D96" s="9"/>
      <c r="E96" s="9"/>
      <c r="F96" s="9"/>
      <c r="G96" s="9"/>
      <c r="H96" s="9"/>
      <c r="I96" s="9"/>
      <c r="J96" s="9"/>
      <c r="K96" s="9"/>
      <c r="L96" s="9"/>
      <c r="M96" s="9"/>
      <c r="N96" s="9"/>
      <c r="O96" s="9"/>
      <c r="P96" s="9"/>
      <c r="Q96" s="9"/>
      <c r="R96" s="9"/>
      <c r="S96" s="9"/>
    </row>
    <row r="97" spans="1:19" ht="12.75" customHeight="1" x14ac:dyDescent="0.2">
      <c r="A97" s="9"/>
      <c r="B97" s="9"/>
      <c r="C97" s="34" t="s">
        <v>184</v>
      </c>
      <c r="D97" s="34"/>
      <c r="E97" s="34"/>
      <c r="F97" s="9"/>
      <c r="G97" s="9"/>
      <c r="H97" s="9"/>
      <c r="I97" s="9"/>
      <c r="J97" s="9"/>
      <c r="K97" s="9"/>
      <c r="L97" s="9"/>
      <c r="M97" s="9"/>
      <c r="N97" s="9"/>
      <c r="O97" s="9"/>
      <c r="P97" s="9"/>
      <c r="Q97" s="9"/>
      <c r="R97" s="9"/>
      <c r="S97" s="9"/>
    </row>
    <row r="98" spans="1:19" ht="12.75" customHeight="1" x14ac:dyDescent="0.2">
      <c r="A98" s="9"/>
      <c r="B98" s="9"/>
      <c r="C98" s="34"/>
      <c r="D98" s="34"/>
      <c r="E98" s="34"/>
      <c r="F98" s="9"/>
      <c r="G98" s="9"/>
      <c r="H98" s="9"/>
      <c r="I98" s="9"/>
      <c r="J98" s="9"/>
      <c r="K98" s="9"/>
      <c r="L98" s="9"/>
      <c r="M98" s="9"/>
      <c r="N98" s="9"/>
      <c r="O98" s="9"/>
      <c r="P98" s="9"/>
      <c r="Q98" s="9"/>
      <c r="R98" s="9"/>
      <c r="S98" s="9"/>
    </row>
    <row r="99" spans="1:19" x14ac:dyDescent="0.2">
      <c r="A99" s="9"/>
      <c r="B99" s="9"/>
      <c r="C99" s="9"/>
      <c r="D99" s="9"/>
      <c r="E99" s="9"/>
      <c r="F99" s="9"/>
      <c r="G99" s="9"/>
      <c r="H99" s="9"/>
      <c r="I99" s="9"/>
      <c r="J99" s="9"/>
      <c r="K99" s="9"/>
      <c r="L99" s="9"/>
      <c r="M99" s="9"/>
      <c r="N99" s="9"/>
      <c r="O99" s="9"/>
      <c r="P99" s="9"/>
      <c r="Q99" s="9"/>
      <c r="R99" s="9"/>
      <c r="S99" s="9"/>
    </row>
    <row r="100" spans="1:19" x14ac:dyDescent="0.2">
      <c r="A100" s="9"/>
      <c r="B100" s="9"/>
      <c r="C100" s="5" t="s">
        <v>174</v>
      </c>
      <c r="D100" t="s">
        <v>181</v>
      </c>
      <c r="E100" s="9"/>
      <c r="F100" s="9"/>
      <c r="G100" s="9"/>
      <c r="H100" s="9"/>
      <c r="I100" s="9"/>
      <c r="J100" s="9"/>
      <c r="K100" s="9"/>
      <c r="L100" s="9"/>
      <c r="M100" s="9"/>
      <c r="N100" s="9"/>
      <c r="O100" s="9"/>
      <c r="P100" s="9"/>
      <c r="Q100" s="9"/>
      <c r="R100" s="9"/>
      <c r="S100" s="9"/>
    </row>
    <row r="101" spans="1:19" x14ac:dyDescent="0.2">
      <c r="A101" s="9"/>
      <c r="B101" s="9"/>
      <c r="C101" s="6" t="s">
        <v>21</v>
      </c>
      <c r="D101">
        <v>65</v>
      </c>
      <c r="E101" s="9"/>
      <c r="F101" s="9"/>
      <c r="G101" s="9"/>
      <c r="H101" s="9"/>
      <c r="I101" s="9"/>
      <c r="J101" s="9"/>
      <c r="K101" s="9"/>
      <c r="L101" s="9"/>
      <c r="M101" s="9"/>
      <c r="N101" s="9"/>
      <c r="O101" s="9"/>
      <c r="P101" s="9"/>
      <c r="Q101" s="9"/>
      <c r="R101" s="9"/>
      <c r="S101" s="9"/>
    </row>
    <row r="102" spans="1:19" x14ac:dyDescent="0.2">
      <c r="A102" s="9"/>
      <c r="B102" s="9"/>
      <c r="C102" s="6" t="s">
        <v>15</v>
      </c>
      <c r="D102">
        <v>46</v>
      </c>
      <c r="E102" s="9"/>
      <c r="F102" s="9"/>
      <c r="G102" s="9"/>
      <c r="H102" s="9"/>
      <c r="I102" s="9"/>
      <c r="J102" s="9"/>
      <c r="K102" s="9"/>
      <c r="L102" s="9"/>
      <c r="M102" s="9"/>
      <c r="N102" s="9"/>
      <c r="O102" s="9"/>
      <c r="P102" s="9"/>
      <c r="Q102" s="9"/>
      <c r="R102" s="9"/>
      <c r="S102" s="9"/>
    </row>
    <row r="103" spans="1:19" x14ac:dyDescent="0.2">
      <c r="A103" s="9"/>
      <c r="B103" s="9"/>
      <c r="C103" s="6" t="s">
        <v>26</v>
      </c>
      <c r="D103">
        <v>79</v>
      </c>
      <c r="E103" s="9"/>
      <c r="F103" s="9"/>
      <c r="G103" s="9"/>
      <c r="H103" s="9"/>
      <c r="I103" s="9"/>
      <c r="J103" s="9"/>
      <c r="K103" s="9"/>
      <c r="L103" s="9"/>
      <c r="M103" s="9"/>
      <c r="N103" s="9"/>
      <c r="O103" s="9"/>
      <c r="P103" s="9"/>
      <c r="Q103" s="9"/>
      <c r="R103" s="9"/>
      <c r="S103" s="9"/>
    </row>
    <row r="104" spans="1:19" x14ac:dyDescent="0.2">
      <c r="A104" s="9"/>
      <c r="B104" s="9"/>
      <c r="C104" s="6" t="s">
        <v>46</v>
      </c>
      <c r="D104">
        <v>62</v>
      </c>
      <c r="E104" s="9"/>
      <c r="F104" s="9"/>
      <c r="G104" s="9"/>
      <c r="H104" s="9"/>
      <c r="I104" s="9"/>
      <c r="J104" s="9"/>
      <c r="K104" s="9"/>
      <c r="L104" s="9"/>
      <c r="M104" s="9"/>
      <c r="N104" s="9"/>
      <c r="O104" s="9"/>
      <c r="P104" s="9"/>
      <c r="Q104" s="9"/>
      <c r="R104" s="9"/>
      <c r="S104" s="9"/>
    </row>
    <row r="105" spans="1:19" x14ac:dyDescent="0.2">
      <c r="A105" s="9"/>
      <c r="B105" s="9"/>
      <c r="C105" s="6" t="s">
        <v>175</v>
      </c>
      <c r="D105">
        <v>252</v>
      </c>
      <c r="E105" s="9"/>
      <c r="F105" s="9"/>
      <c r="G105" s="9"/>
      <c r="H105" s="9"/>
      <c r="I105" s="9"/>
      <c r="J105" s="9"/>
      <c r="K105" s="9"/>
      <c r="L105" s="9"/>
      <c r="M105" s="9"/>
      <c r="N105" s="9"/>
      <c r="O105" s="9"/>
      <c r="P105" s="9"/>
      <c r="Q105" s="9"/>
      <c r="R105" s="9"/>
      <c r="S105" s="9"/>
    </row>
    <row r="106" spans="1:19" x14ac:dyDescent="0.2">
      <c r="A106" s="9"/>
      <c r="B106" s="9"/>
      <c r="C106" s="9"/>
      <c r="D106" s="9"/>
      <c r="E106" s="9"/>
      <c r="F106" s="9"/>
      <c r="G106" s="9"/>
      <c r="H106" s="9"/>
      <c r="I106" s="9"/>
      <c r="J106" s="9"/>
      <c r="K106" s="9"/>
      <c r="L106" s="9"/>
      <c r="M106" s="9"/>
      <c r="N106" s="9"/>
      <c r="O106" s="9"/>
      <c r="P106" s="9"/>
      <c r="Q106" s="9"/>
      <c r="R106" s="9"/>
      <c r="S106" s="9"/>
    </row>
    <row r="107" spans="1:19" x14ac:dyDescent="0.2">
      <c r="A107" s="9"/>
      <c r="B107" s="9"/>
      <c r="C107" s="9"/>
      <c r="D107" s="9"/>
      <c r="E107" s="9"/>
      <c r="F107" s="9"/>
      <c r="G107" s="9"/>
      <c r="H107" s="9"/>
      <c r="I107" s="9"/>
      <c r="J107" s="9"/>
      <c r="K107" s="9"/>
      <c r="L107" s="9"/>
      <c r="M107" s="9"/>
      <c r="N107" s="9"/>
      <c r="O107" s="9"/>
      <c r="P107" s="9"/>
      <c r="Q107" s="9"/>
      <c r="R107" s="9"/>
      <c r="S107" s="9"/>
    </row>
    <row r="108" spans="1:19" x14ac:dyDescent="0.2">
      <c r="A108" s="9"/>
      <c r="B108" s="9"/>
      <c r="C108" s="9"/>
      <c r="D108" s="9"/>
      <c r="E108" s="9"/>
      <c r="F108" s="9"/>
      <c r="G108" s="9"/>
      <c r="H108" s="9"/>
      <c r="I108" s="9"/>
      <c r="J108" s="9"/>
      <c r="K108" s="9"/>
      <c r="L108" s="9"/>
      <c r="M108" s="9"/>
      <c r="N108" s="9"/>
      <c r="O108" s="9"/>
      <c r="P108" s="9"/>
      <c r="Q108" s="9"/>
      <c r="R108" s="9"/>
      <c r="S108" s="9"/>
    </row>
    <row r="109" spans="1:19" x14ac:dyDescent="0.2">
      <c r="A109" s="9"/>
      <c r="B109" s="9"/>
      <c r="C109" s="9"/>
      <c r="D109" s="9"/>
      <c r="E109" s="9"/>
      <c r="F109" s="9"/>
      <c r="G109" s="9"/>
      <c r="H109" s="9"/>
      <c r="I109" s="9"/>
      <c r="J109" s="9"/>
      <c r="K109" s="9"/>
      <c r="L109" s="9"/>
      <c r="M109" s="9"/>
      <c r="N109" s="9"/>
      <c r="O109" s="9"/>
      <c r="P109" s="9"/>
      <c r="Q109" s="9"/>
      <c r="R109" s="9"/>
      <c r="S109" s="9"/>
    </row>
    <row r="110" spans="1:19" x14ac:dyDescent="0.2">
      <c r="A110" s="9"/>
      <c r="B110" s="9"/>
      <c r="C110" s="9"/>
      <c r="D110" s="9"/>
      <c r="E110" s="9"/>
      <c r="F110" s="9"/>
      <c r="G110" s="9"/>
      <c r="H110" s="9"/>
      <c r="I110" s="9"/>
      <c r="J110" s="9"/>
      <c r="K110" s="9"/>
      <c r="L110" s="9"/>
      <c r="M110" s="9"/>
      <c r="N110" s="9"/>
      <c r="O110" s="9"/>
      <c r="P110" s="9"/>
      <c r="Q110" s="9"/>
      <c r="R110" s="9"/>
      <c r="S110" s="9"/>
    </row>
    <row r="111" spans="1:19" x14ac:dyDescent="0.2">
      <c r="A111" s="9"/>
      <c r="B111" s="9"/>
      <c r="C111" s="9"/>
      <c r="D111" s="9"/>
      <c r="E111" s="9"/>
      <c r="F111" s="9"/>
      <c r="G111" s="9"/>
      <c r="H111" s="9"/>
      <c r="I111" s="9"/>
      <c r="J111" s="9"/>
      <c r="K111" s="9"/>
      <c r="L111" s="9"/>
      <c r="M111" s="9"/>
      <c r="N111" s="9"/>
      <c r="O111" s="9"/>
      <c r="P111" s="9"/>
      <c r="Q111" s="9"/>
      <c r="R111" s="9"/>
      <c r="S111" s="9"/>
    </row>
    <row r="112" spans="1:19" x14ac:dyDescent="0.2">
      <c r="A112" s="9"/>
      <c r="B112" s="9"/>
      <c r="C112" s="9"/>
      <c r="D112" s="9"/>
      <c r="E112" s="9"/>
      <c r="F112" s="9"/>
      <c r="G112" s="9"/>
      <c r="H112" s="9"/>
      <c r="I112" s="9"/>
      <c r="J112" s="9"/>
      <c r="K112" s="9"/>
      <c r="L112" s="9"/>
      <c r="M112" s="9"/>
      <c r="N112" s="9"/>
      <c r="O112" s="9"/>
      <c r="P112" s="9"/>
      <c r="Q112" s="9"/>
      <c r="R112" s="9"/>
      <c r="S112" s="9"/>
    </row>
    <row r="113" spans="1:19" x14ac:dyDescent="0.2">
      <c r="A113" s="9"/>
      <c r="B113" s="9"/>
      <c r="C113" s="9"/>
      <c r="D113" s="9"/>
      <c r="E113" s="9"/>
      <c r="F113" s="9"/>
      <c r="G113" s="9"/>
      <c r="H113" s="9"/>
      <c r="I113" s="9"/>
      <c r="J113" s="9"/>
      <c r="K113" s="9"/>
      <c r="L113" s="9"/>
      <c r="M113" s="9"/>
      <c r="N113" s="9"/>
      <c r="O113" s="9"/>
      <c r="P113" s="9"/>
      <c r="Q113" s="9"/>
      <c r="R113" s="9"/>
      <c r="S113" s="9"/>
    </row>
    <row r="114" spans="1:19" x14ac:dyDescent="0.2">
      <c r="A114" s="9"/>
      <c r="B114" s="9"/>
      <c r="C114" s="9"/>
      <c r="D114" s="9"/>
      <c r="E114" s="9"/>
      <c r="F114" s="9"/>
      <c r="G114" s="9"/>
      <c r="H114" s="9"/>
      <c r="I114" s="9"/>
      <c r="J114" s="9"/>
      <c r="K114" s="9"/>
      <c r="L114" s="9"/>
      <c r="M114" s="9"/>
      <c r="N114" s="9"/>
      <c r="O114" s="9"/>
      <c r="P114" s="9"/>
      <c r="Q114" s="9"/>
      <c r="R114" s="9"/>
      <c r="S114" s="9"/>
    </row>
    <row r="115" spans="1:19" x14ac:dyDescent="0.2">
      <c r="A115" s="9"/>
      <c r="B115" s="9"/>
      <c r="C115" s="9"/>
      <c r="D115" s="9"/>
      <c r="E115" s="9"/>
      <c r="F115" s="9"/>
      <c r="G115" s="9"/>
      <c r="H115" s="9"/>
      <c r="I115" s="9"/>
      <c r="J115" s="9"/>
      <c r="K115" s="9"/>
      <c r="L115" s="9"/>
      <c r="M115" s="9"/>
      <c r="N115" s="9"/>
      <c r="O115" s="9"/>
      <c r="P115" s="9"/>
      <c r="Q115" s="9"/>
      <c r="R115" s="9"/>
      <c r="S115" s="9"/>
    </row>
    <row r="116" spans="1:19" x14ac:dyDescent="0.2">
      <c r="A116" s="9"/>
      <c r="B116" s="9"/>
      <c r="C116" s="9"/>
      <c r="D116" s="9"/>
      <c r="E116" s="9"/>
      <c r="F116" s="9"/>
      <c r="G116" s="9"/>
      <c r="H116" s="9"/>
      <c r="I116" s="9"/>
      <c r="J116" s="9"/>
      <c r="K116" s="9"/>
      <c r="L116" s="9"/>
      <c r="M116" s="9"/>
      <c r="N116" s="9"/>
      <c r="O116" s="9"/>
      <c r="P116" s="9"/>
      <c r="Q116" s="9"/>
      <c r="R116" s="9"/>
      <c r="S116" s="9"/>
    </row>
    <row r="117" spans="1:19" x14ac:dyDescent="0.2">
      <c r="A117" s="9"/>
      <c r="B117" s="9"/>
      <c r="C117" s="9"/>
      <c r="D117" s="9"/>
      <c r="E117" s="9"/>
      <c r="F117" s="9"/>
      <c r="G117" s="9"/>
      <c r="H117" s="9"/>
      <c r="I117" s="9"/>
      <c r="J117" s="9"/>
      <c r="K117" s="9"/>
      <c r="L117" s="9"/>
      <c r="M117" s="9"/>
      <c r="N117" s="9"/>
      <c r="O117" s="9"/>
      <c r="P117" s="9"/>
      <c r="Q117" s="9"/>
      <c r="R117" s="9"/>
      <c r="S117" s="9"/>
    </row>
    <row r="118" spans="1:19" x14ac:dyDescent="0.2">
      <c r="A118" s="9"/>
      <c r="B118" s="9"/>
      <c r="C118" s="9"/>
      <c r="D118" s="9"/>
      <c r="E118" s="9"/>
      <c r="F118" s="9"/>
      <c r="G118" s="9"/>
      <c r="H118" s="9"/>
      <c r="I118" s="9"/>
      <c r="J118" s="9"/>
      <c r="K118" s="9"/>
      <c r="L118" s="9"/>
      <c r="M118" s="9"/>
      <c r="N118" s="9"/>
      <c r="O118" s="9"/>
      <c r="P118" s="9"/>
      <c r="Q118" s="9"/>
      <c r="R118" s="9"/>
      <c r="S118" s="9"/>
    </row>
  </sheetData>
  <mergeCells count="7">
    <mergeCell ref="C44:D45"/>
    <mergeCell ref="C62:D63"/>
    <mergeCell ref="C80:E82"/>
    <mergeCell ref="C97:E98"/>
    <mergeCell ref="A1:S1"/>
    <mergeCell ref="C3:F4"/>
    <mergeCell ref="B22:D23"/>
  </mergeCells>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26EB1-DB85-4D4F-9C63-2606B53A63B0}">
  <sheetPr codeName="Sheet5"/>
  <dimension ref="A1:X45"/>
  <sheetViews>
    <sheetView showGridLines="0" tabSelected="1" topLeftCell="A14" workbookViewId="0">
      <selection activeCell="K28" sqref="K28"/>
    </sheetView>
  </sheetViews>
  <sheetFormatPr defaultRowHeight="12.75" x14ac:dyDescent="0.2"/>
  <sheetData>
    <row r="1" spans="1:23" x14ac:dyDescent="0.2">
      <c r="A1" s="10"/>
      <c r="B1" s="10"/>
      <c r="C1" s="10"/>
      <c r="D1" s="10"/>
      <c r="E1" s="10"/>
      <c r="F1" s="10"/>
      <c r="G1" s="10"/>
      <c r="H1" s="10"/>
      <c r="I1" s="10"/>
      <c r="J1" s="10"/>
      <c r="K1" s="10"/>
      <c r="L1" s="10"/>
      <c r="M1" s="10"/>
      <c r="N1" s="10"/>
      <c r="O1" s="10"/>
      <c r="P1" s="10"/>
      <c r="Q1" s="10"/>
      <c r="R1" s="10"/>
      <c r="S1" s="10"/>
      <c r="T1" s="10"/>
      <c r="U1" s="10"/>
      <c r="V1" s="10"/>
      <c r="W1" s="10"/>
    </row>
    <row r="2" spans="1:23" x14ac:dyDescent="0.2">
      <c r="A2" s="10"/>
      <c r="B2" s="10"/>
      <c r="C2" s="10"/>
      <c r="D2" s="10"/>
      <c r="E2" s="10"/>
      <c r="F2" s="10"/>
      <c r="G2" s="10"/>
      <c r="H2" s="10"/>
      <c r="I2" s="10"/>
      <c r="J2" s="10"/>
      <c r="K2" s="10"/>
      <c r="L2" s="10"/>
      <c r="M2" s="10"/>
      <c r="N2" s="10"/>
      <c r="O2" s="10"/>
      <c r="P2" s="10"/>
      <c r="Q2" s="10"/>
      <c r="R2" s="10"/>
      <c r="S2" s="10"/>
      <c r="T2" s="10"/>
      <c r="U2" s="10"/>
      <c r="V2" s="10"/>
      <c r="W2" s="10"/>
    </row>
    <row r="3" spans="1:23" ht="13.5" thickBot="1" x14ac:dyDescent="0.25">
      <c r="A3" s="10"/>
      <c r="B3" s="10"/>
      <c r="C3" s="10"/>
      <c r="D3" s="10"/>
      <c r="E3" s="10"/>
      <c r="F3" s="10"/>
      <c r="G3" s="10"/>
      <c r="H3" s="10"/>
      <c r="I3" s="10"/>
      <c r="J3" s="10"/>
      <c r="K3" s="10"/>
      <c r="L3" s="10"/>
      <c r="M3" s="10"/>
      <c r="N3" s="10"/>
      <c r="O3" s="10"/>
      <c r="P3" s="10"/>
      <c r="Q3" s="10"/>
      <c r="R3" s="10"/>
      <c r="S3" s="10"/>
      <c r="T3" s="10"/>
      <c r="U3" s="10"/>
      <c r="V3" s="10"/>
      <c r="W3" s="10"/>
    </row>
    <row r="4" spans="1:23" ht="24" thickBot="1" x14ac:dyDescent="0.25">
      <c r="A4" s="10"/>
      <c r="B4" s="11" t="s">
        <v>199</v>
      </c>
      <c r="C4" s="12"/>
      <c r="D4" s="12"/>
      <c r="E4" s="12"/>
      <c r="F4" s="12"/>
      <c r="G4" s="12"/>
      <c r="H4" s="12"/>
      <c r="I4" s="13"/>
      <c r="J4" s="10"/>
      <c r="K4" s="10"/>
      <c r="L4" s="10"/>
      <c r="M4" s="10"/>
      <c r="N4" s="10"/>
      <c r="O4" s="10"/>
      <c r="P4" s="10"/>
      <c r="Q4" s="10"/>
      <c r="R4" s="10"/>
      <c r="S4" s="10"/>
      <c r="T4" s="10"/>
      <c r="U4" s="10"/>
      <c r="V4" s="10"/>
      <c r="W4" s="10"/>
    </row>
    <row r="5" spans="1:23" x14ac:dyDescent="0.2">
      <c r="A5" s="10"/>
      <c r="B5" s="14"/>
      <c r="C5" s="10"/>
      <c r="D5" s="10"/>
      <c r="E5" s="10"/>
      <c r="F5" s="10"/>
      <c r="G5" s="10"/>
      <c r="H5" s="10"/>
      <c r="I5" s="10"/>
      <c r="J5" s="10"/>
      <c r="K5" s="10"/>
      <c r="L5" s="10"/>
      <c r="M5" s="10"/>
      <c r="N5" s="10"/>
      <c r="O5" s="10"/>
      <c r="P5" s="10"/>
      <c r="Q5" s="10"/>
      <c r="R5" s="10"/>
      <c r="S5" s="10"/>
      <c r="T5" s="10"/>
      <c r="U5" s="10"/>
      <c r="V5" s="10"/>
      <c r="W5" s="10"/>
    </row>
    <row r="6" spans="1:23" x14ac:dyDescent="0.2">
      <c r="A6" s="10"/>
      <c r="B6" s="15" t="s">
        <v>186</v>
      </c>
      <c r="C6" s="10"/>
      <c r="D6" s="10"/>
      <c r="E6" s="10"/>
      <c r="F6" s="10"/>
      <c r="G6" s="10"/>
      <c r="H6" s="10"/>
      <c r="I6" s="10"/>
      <c r="J6" s="10"/>
      <c r="K6" s="10"/>
      <c r="L6" s="10"/>
      <c r="M6" s="10"/>
      <c r="N6" s="10"/>
      <c r="O6" s="10"/>
      <c r="P6" s="10"/>
      <c r="Q6" s="10"/>
      <c r="R6" s="10"/>
      <c r="S6" s="10"/>
      <c r="T6" s="10"/>
      <c r="U6" s="10"/>
      <c r="V6" s="10"/>
      <c r="W6" s="10"/>
    </row>
    <row r="7" spans="1:23" x14ac:dyDescent="0.2">
      <c r="A7" s="10"/>
      <c r="B7" s="16" t="s">
        <v>187</v>
      </c>
      <c r="C7" s="10"/>
      <c r="D7" s="10"/>
      <c r="E7" s="10"/>
      <c r="F7" s="10"/>
      <c r="G7" s="10"/>
      <c r="H7" s="10"/>
      <c r="I7" s="10"/>
      <c r="J7" s="10"/>
      <c r="K7" s="10"/>
      <c r="L7" s="10"/>
      <c r="M7" s="10"/>
      <c r="N7" s="10"/>
      <c r="O7" s="10"/>
      <c r="P7" s="10"/>
      <c r="Q7" s="10"/>
      <c r="R7" s="10"/>
      <c r="S7" s="10"/>
      <c r="T7" s="10"/>
      <c r="U7" s="10"/>
      <c r="V7" s="10"/>
      <c r="W7" s="10"/>
    </row>
    <row r="8" spans="1:23" x14ac:dyDescent="0.2">
      <c r="A8" s="10"/>
      <c r="B8" s="14"/>
      <c r="C8" s="10"/>
      <c r="D8" s="10"/>
      <c r="E8" s="10"/>
      <c r="F8" s="10"/>
      <c r="G8" s="10"/>
      <c r="H8" s="10"/>
      <c r="I8" s="10"/>
      <c r="J8" s="10"/>
      <c r="K8" s="10"/>
      <c r="L8" s="10"/>
      <c r="M8" s="10"/>
      <c r="N8" s="10"/>
      <c r="O8" s="10"/>
      <c r="P8" s="10"/>
      <c r="Q8" s="10"/>
      <c r="R8" s="10"/>
      <c r="S8" s="10"/>
      <c r="T8" s="10"/>
      <c r="U8" s="10"/>
      <c r="V8" s="10"/>
      <c r="W8" s="10"/>
    </row>
    <row r="9" spans="1:23" x14ac:dyDescent="0.2">
      <c r="A9" s="10"/>
      <c r="B9" s="15" t="s">
        <v>188</v>
      </c>
      <c r="C9" s="10"/>
      <c r="D9" s="10"/>
      <c r="E9" s="10"/>
      <c r="F9" s="10"/>
      <c r="G9" s="10"/>
      <c r="H9" s="10"/>
      <c r="I9" s="10"/>
      <c r="J9" s="10"/>
      <c r="K9" s="10"/>
      <c r="L9" s="10"/>
      <c r="M9" s="10"/>
      <c r="N9" s="10"/>
      <c r="O9" s="10"/>
      <c r="P9" s="10"/>
      <c r="Q9" s="10"/>
      <c r="R9" s="10"/>
      <c r="S9" s="10"/>
      <c r="T9" s="10"/>
      <c r="U9" s="10"/>
      <c r="V9" s="10"/>
      <c r="W9" s="10"/>
    </row>
    <row r="10" spans="1:23" x14ac:dyDescent="0.2">
      <c r="A10" s="10"/>
      <c r="B10" s="16" t="s">
        <v>189</v>
      </c>
      <c r="C10" s="10"/>
      <c r="D10" s="10"/>
      <c r="E10" s="10"/>
      <c r="F10" s="10"/>
      <c r="G10" s="10"/>
      <c r="H10" s="10"/>
      <c r="I10" s="10"/>
      <c r="J10" s="10"/>
      <c r="K10" s="10"/>
      <c r="L10" s="10"/>
      <c r="M10" s="10"/>
      <c r="N10" s="10"/>
      <c r="O10" s="10"/>
      <c r="P10" s="10"/>
      <c r="Q10" s="10"/>
      <c r="R10" s="10"/>
      <c r="S10" s="10"/>
      <c r="T10" s="10"/>
      <c r="U10" s="10"/>
      <c r="V10" s="10"/>
      <c r="W10" s="10"/>
    </row>
    <row r="11" spans="1:23" x14ac:dyDescent="0.2">
      <c r="A11" s="10"/>
      <c r="B11" s="14"/>
      <c r="C11" s="10"/>
      <c r="D11" s="10"/>
      <c r="E11" s="10"/>
      <c r="F11" s="10"/>
      <c r="G11" s="10"/>
      <c r="H11" s="10"/>
      <c r="I11" s="10"/>
      <c r="J11" s="10"/>
      <c r="K11" s="10"/>
      <c r="L11" s="10"/>
      <c r="M11" s="10"/>
      <c r="N11" s="10"/>
      <c r="O11" s="10"/>
      <c r="P11" s="10"/>
      <c r="Q11" s="10"/>
      <c r="R11" s="10"/>
      <c r="S11" s="10"/>
      <c r="T11" s="10"/>
      <c r="U11" s="10"/>
      <c r="V11" s="10"/>
      <c r="W11" s="10"/>
    </row>
    <row r="12" spans="1:23" x14ac:dyDescent="0.2">
      <c r="A12" s="10"/>
      <c r="B12" s="15" t="s">
        <v>190</v>
      </c>
      <c r="C12" s="10"/>
      <c r="D12" s="10"/>
      <c r="E12" s="10"/>
      <c r="F12" s="10"/>
      <c r="G12" s="10"/>
      <c r="H12" s="10"/>
      <c r="I12" s="10"/>
      <c r="J12" s="10"/>
      <c r="K12" s="10"/>
      <c r="L12" s="10"/>
      <c r="M12" s="10"/>
      <c r="N12" s="10"/>
      <c r="O12" s="10"/>
      <c r="P12" s="10"/>
      <c r="Q12" s="10"/>
      <c r="R12" s="10"/>
      <c r="S12" s="10"/>
      <c r="T12" s="10"/>
      <c r="U12" s="10"/>
      <c r="V12" s="10"/>
      <c r="W12" s="10"/>
    </row>
    <row r="13" spans="1:23" x14ac:dyDescent="0.2">
      <c r="A13" s="10"/>
      <c r="B13" s="15" t="s">
        <v>191</v>
      </c>
      <c r="C13" s="10"/>
      <c r="D13" s="10"/>
      <c r="E13" s="10"/>
      <c r="F13" s="10"/>
      <c r="G13" s="10"/>
      <c r="H13" s="10"/>
      <c r="I13" s="10"/>
      <c r="J13" s="10"/>
      <c r="K13" s="10"/>
      <c r="L13" s="10"/>
      <c r="M13" s="10"/>
      <c r="N13" s="10"/>
      <c r="O13" s="10"/>
      <c r="P13" s="10"/>
      <c r="Q13" s="10"/>
      <c r="R13" s="10"/>
      <c r="S13" s="10"/>
      <c r="T13" s="10"/>
      <c r="U13" s="10"/>
      <c r="V13" s="10"/>
      <c r="W13" s="10"/>
    </row>
    <row r="14" spans="1:23" x14ac:dyDescent="0.2">
      <c r="A14" s="10"/>
      <c r="B14" s="14"/>
      <c r="C14" s="10"/>
      <c r="D14" s="10"/>
      <c r="E14" s="10"/>
      <c r="F14" s="10"/>
      <c r="G14" s="10"/>
      <c r="H14" s="10"/>
      <c r="I14" s="10"/>
      <c r="J14" s="10"/>
      <c r="K14" s="10"/>
      <c r="L14" s="10"/>
      <c r="M14" s="10"/>
      <c r="N14" s="10"/>
      <c r="O14" s="10"/>
      <c r="P14" s="10"/>
      <c r="Q14" s="10"/>
      <c r="R14" s="10"/>
      <c r="S14" s="10"/>
      <c r="T14" s="10"/>
      <c r="U14" s="10"/>
      <c r="V14" s="10"/>
      <c r="W14" s="10"/>
    </row>
    <row r="15" spans="1:23" x14ac:dyDescent="0.2">
      <c r="A15" s="10"/>
      <c r="B15" s="15" t="s">
        <v>192</v>
      </c>
      <c r="C15" s="10"/>
      <c r="D15" s="10"/>
      <c r="E15" s="10"/>
      <c r="F15" s="10"/>
      <c r="G15" s="10"/>
      <c r="H15" s="10"/>
      <c r="I15" s="10"/>
      <c r="J15" s="10"/>
      <c r="K15" s="10"/>
      <c r="L15" s="10"/>
      <c r="M15" s="10"/>
      <c r="N15" s="10"/>
      <c r="O15" s="10"/>
      <c r="P15" s="10"/>
      <c r="Q15" s="10"/>
      <c r="R15" s="10"/>
      <c r="S15" s="10"/>
      <c r="T15" s="10"/>
      <c r="U15" s="10"/>
      <c r="V15" s="10"/>
      <c r="W15" s="10"/>
    </row>
    <row r="16" spans="1:23" x14ac:dyDescent="0.2">
      <c r="A16" s="10"/>
      <c r="B16" s="15" t="s">
        <v>193</v>
      </c>
      <c r="C16" s="10"/>
      <c r="D16" s="10"/>
      <c r="E16" s="10"/>
      <c r="F16" s="10"/>
      <c r="G16" s="10"/>
      <c r="H16" s="10"/>
      <c r="I16" s="10"/>
      <c r="J16" s="10"/>
      <c r="K16" s="10"/>
      <c r="L16" s="10"/>
      <c r="M16" s="10"/>
      <c r="N16" s="10"/>
      <c r="O16" s="10"/>
      <c r="P16" s="10"/>
      <c r="Q16" s="10"/>
      <c r="R16" s="10"/>
      <c r="S16" s="10"/>
      <c r="T16" s="10"/>
      <c r="U16" s="10"/>
      <c r="V16" s="10"/>
      <c r="W16" s="10"/>
    </row>
    <row r="17" spans="1:24" x14ac:dyDescent="0.2">
      <c r="A17" s="10"/>
      <c r="B17" s="14"/>
      <c r="C17" s="10"/>
      <c r="D17" s="10"/>
      <c r="E17" s="10"/>
      <c r="F17" s="10"/>
      <c r="G17" s="10"/>
      <c r="H17" s="10"/>
      <c r="I17" s="10"/>
      <c r="J17" s="10"/>
      <c r="K17" s="10"/>
      <c r="L17" s="10"/>
      <c r="M17" s="10"/>
      <c r="N17" s="10"/>
      <c r="O17" s="10"/>
      <c r="P17" s="10"/>
      <c r="Q17" s="10"/>
      <c r="R17" s="10"/>
      <c r="S17" s="10"/>
      <c r="T17" s="10"/>
      <c r="U17" s="10"/>
      <c r="V17" s="10"/>
      <c r="W17" s="10"/>
    </row>
    <row r="18" spans="1:24" x14ac:dyDescent="0.2">
      <c r="A18" s="10"/>
      <c r="B18" s="15" t="s">
        <v>194</v>
      </c>
      <c r="C18" s="10"/>
      <c r="D18" s="10"/>
      <c r="E18" s="10"/>
      <c r="F18" s="10"/>
      <c r="G18" s="10"/>
      <c r="H18" s="10"/>
      <c r="I18" s="10"/>
      <c r="J18" s="10"/>
      <c r="K18" s="10"/>
      <c r="L18" s="10"/>
      <c r="M18" s="10"/>
      <c r="N18" s="10"/>
      <c r="O18" s="10"/>
      <c r="P18" s="10"/>
      <c r="Q18" s="10"/>
      <c r="R18" s="10"/>
      <c r="S18" s="10"/>
      <c r="T18" s="10"/>
      <c r="U18" s="10"/>
      <c r="V18" s="10"/>
      <c r="W18" s="10"/>
    </row>
    <row r="19" spans="1:24" x14ac:dyDescent="0.2">
      <c r="A19" s="10"/>
      <c r="B19" s="16" t="s">
        <v>195</v>
      </c>
      <c r="C19" s="10"/>
      <c r="D19" s="10"/>
      <c r="E19" s="10"/>
      <c r="F19" s="10"/>
      <c r="G19" s="10"/>
      <c r="H19" s="10"/>
      <c r="I19" s="10"/>
      <c r="J19" s="10"/>
      <c r="K19" s="10"/>
      <c r="L19" s="10"/>
      <c r="M19" s="10"/>
      <c r="N19" s="10"/>
      <c r="O19" s="10"/>
      <c r="P19" s="10"/>
      <c r="Q19" s="10"/>
      <c r="R19" s="10"/>
      <c r="S19" s="10"/>
      <c r="T19" s="10"/>
      <c r="U19" s="10"/>
      <c r="V19" s="10"/>
      <c r="W19" s="10"/>
    </row>
    <row r="20" spans="1:24" x14ac:dyDescent="0.2">
      <c r="A20" s="10"/>
      <c r="B20" s="14"/>
      <c r="C20" s="10"/>
      <c r="D20" s="10"/>
      <c r="E20" s="10"/>
      <c r="F20" s="10"/>
      <c r="G20" s="10"/>
      <c r="H20" s="10"/>
      <c r="I20" s="10"/>
      <c r="J20" s="10"/>
      <c r="K20" s="10"/>
      <c r="L20" s="10"/>
      <c r="M20" s="10"/>
      <c r="N20" s="10"/>
      <c r="O20" s="10"/>
      <c r="P20" s="10"/>
      <c r="Q20" s="10"/>
      <c r="R20" s="10"/>
      <c r="S20" s="10"/>
      <c r="T20" s="10"/>
      <c r="U20" s="10"/>
      <c r="V20" s="10"/>
      <c r="W20" s="10"/>
    </row>
    <row r="21" spans="1:24" x14ac:dyDescent="0.2">
      <c r="A21" s="10"/>
      <c r="B21" s="15" t="s">
        <v>196</v>
      </c>
      <c r="C21" s="10"/>
      <c r="D21" s="10"/>
      <c r="E21" s="10"/>
      <c r="F21" s="10"/>
      <c r="G21" s="10"/>
      <c r="H21" s="10"/>
      <c r="I21" s="10"/>
      <c r="J21" s="10"/>
      <c r="K21" s="10"/>
      <c r="L21" s="10"/>
      <c r="M21" s="10"/>
      <c r="N21" s="10"/>
      <c r="O21" s="10"/>
      <c r="P21" s="10"/>
      <c r="Q21" s="10"/>
      <c r="R21" s="10"/>
      <c r="S21" s="10"/>
      <c r="T21" s="10"/>
      <c r="U21" s="10"/>
      <c r="V21" s="10"/>
      <c r="W21" s="10"/>
    </row>
    <row r="22" spans="1:24" x14ac:dyDescent="0.2">
      <c r="A22" s="10"/>
      <c r="B22" s="16" t="s">
        <v>197</v>
      </c>
      <c r="C22" s="10"/>
      <c r="D22" s="10"/>
      <c r="E22" s="10"/>
      <c r="F22" s="10"/>
      <c r="G22" s="10"/>
      <c r="H22" s="10"/>
      <c r="I22" s="10"/>
      <c r="J22" s="10"/>
      <c r="K22" s="10"/>
      <c r="L22" s="10"/>
      <c r="M22" s="10"/>
      <c r="N22" s="10"/>
      <c r="O22" s="10"/>
      <c r="P22" s="10"/>
      <c r="Q22" s="10"/>
      <c r="R22" s="10"/>
      <c r="S22" s="10"/>
      <c r="T22" s="10"/>
      <c r="U22" s="10"/>
      <c r="V22" s="10"/>
      <c r="W22" s="10"/>
    </row>
    <row r="23" spans="1:24" x14ac:dyDescent="0.2">
      <c r="A23" s="10"/>
      <c r="B23" s="14"/>
      <c r="C23" s="10"/>
      <c r="D23" s="10"/>
      <c r="E23" s="10"/>
      <c r="F23" s="10"/>
      <c r="G23" s="10"/>
      <c r="H23" s="10"/>
      <c r="I23" s="10"/>
      <c r="J23" s="10"/>
      <c r="K23" s="10"/>
      <c r="L23" s="10"/>
      <c r="M23" s="10"/>
      <c r="N23" s="10"/>
      <c r="O23" s="10"/>
      <c r="P23" s="10"/>
      <c r="Q23" s="10"/>
      <c r="R23" s="10"/>
      <c r="S23" s="10"/>
      <c r="T23" s="10"/>
      <c r="U23" s="10"/>
      <c r="V23" s="10"/>
      <c r="W23" s="10"/>
    </row>
    <row r="24" spans="1:24" x14ac:dyDescent="0.2">
      <c r="A24" s="10"/>
      <c r="B24" s="15"/>
      <c r="C24" s="10"/>
      <c r="D24" s="10"/>
      <c r="E24" s="10"/>
      <c r="F24" s="10"/>
      <c r="G24" s="10"/>
      <c r="H24" s="10"/>
      <c r="I24" s="10"/>
      <c r="J24" s="10"/>
      <c r="K24" s="10"/>
      <c r="L24" s="10"/>
      <c r="M24" s="10"/>
      <c r="N24" s="10"/>
      <c r="O24" s="10"/>
      <c r="P24" s="10"/>
      <c r="Q24" s="10"/>
      <c r="R24" s="10"/>
      <c r="S24" s="10"/>
      <c r="T24" s="10"/>
      <c r="U24" s="10"/>
      <c r="V24" s="10"/>
      <c r="W24" s="10"/>
    </row>
    <row r="25" spans="1:24" x14ac:dyDescent="0.2">
      <c r="A25" s="10"/>
      <c r="B25" s="16"/>
      <c r="C25" s="10"/>
      <c r="D25" s="10"/>
      <c r="E25" s="10"/>
      <c r="F25" s="10"/>
      <c r="G25" s="10"/>
      <c r="H25" s="10"/>
      <c r="I25" s="10"/>
      <c r="J25" s="10"/>
      <c r="K25" s="10"/>
      <c r="L25" s="10"/>
      <c r="M25" s="10"/>
      <c r="N25" s="10"/>
      <c r="O25" s="10"/>
      <c r="P25" s="10"/>
      <c r="Q25" s="10"/>
      <c r="R25" s="10"/>
      <c r="S25" s="10"/>
      <c r="T25" s="10"/>
      <c r="U25" s="10"/>
      <c r="V25" s="10"/>
      <c r="W25" s="10"/>
    </row>
    <row r="26" spans="1:24" x14ac:dyDescent="0.2">
      <c r="A26" s="10"/>
      <c r="B26" s="10"/>
      <c r="C26" s="10"/>
      <c r="D26" s="10"/>
      <c r="E26" s="10"/>
      <c r="F26" s="10"/>
      <c r="G26" s="10"/>
      <c r="H26" s="10"/>
      <c r="I26" s="10"/>
      <c r="J26" s="10"/>
      <c r="K26" s="10"/>
      <c r="L26" s="10"/>
      <c r="M26" s="10"/>
      <c r="N26" s="10"/>
      <c r="O26" s="10"/>
      <c r="P26" s="10"/>
      <c r="Q26" s="10"/>
      <c r="R26" s="10"/>
      <c r="S26" s="10"/>
      <c r="T26" s="10"/>
      <c r="U26" s="10"/>
      <c r="V26" s="10"/>
      <c r="W26" s="10"/>
    </row>
    <row r="27" spans="1:24" x14ac:dyDescent="0.2">
      <c r="A27" s="10"/>
      <c r="B27" s="10"/>
      <c r="C27" s="10"/>
      <c r="D27" s="10"/>
      <c r="E27" s="10"/>
      <c r="F27" s="10"/>
      <c r="G27" s="10"/>
      <c r="H27" s="10"/>
      <c r="I27" s="10"/>
      <c r="J27" s="10"/>
      <c r="K27" s="10"/>
      <c r="L27" s="10"/>
      <c r="M27" s="10"/>
      <c r="N27" s="10"/>
      <c r="O27" s="10"/>
      <c r="P27" s="10"/>
      <c r="Q27" s="10"/>
      <c r="R27" s="10"/>
      <c r="S27" s="10"/>
      <c r="T27" s="10"/>
      <c r="U27" s="10"/>
      <c r="V27" s="10"/>
      <c r="W27" s="10"/>
    </row>
    <row r="28" spans="1:24" ht="13.5" thickBot="1" x14ac:dyDescent="0.25">
      <c r="A28" s="10"/>
      <c r="B28" s="10"/>
      <c r="C28" s="10"/>
      <c r="D28" s="10"/>
      <c r="E28" s="10"/>
      <c r="F28" s="10"/>
      <c r="G28" s="10"/>
      <c r="H28" s="10"/>
      <c r="I28" s="10"/>
      <c r="J28" s="10"/>
      <c r="K28" s="10"/>
      <c r="L28" s="10"/>
      <c r="M28" s="10"/>
      <c r="N28" s="10"/>
      <c r="O28" s="10"/>
      <c r="P28" s="10"/>
      <c r="Q28" s="10"/>
      <c r="R28" s="10"/>
      <c r="S28" s="10"/>
      <c r="T28" s="10"/>
      <c r="U28" s="10"/>
      <c r="V28" s="10"/>
      <c r="W28" s="10"/>
    </row>
    <row r="29" spans="1:24" ht="24" thickBot="1" x14ac:dyDescent="0.25">
      <c r="A29" s="10"/>
      <c r="B29" s="11" t="s">
        <v>198</v>
      </c>
      <c r="C29" s="12"/>
      <c r="D29" s="13"/>
      <c r="E29" s="10"/>
      <c r="F29" s="10"/>
      <c r="G29" s="10"/>
      <c r="H29" s="10"/>
      <c r="I29" s="10"/>
      <c r="J29" s="10"/>
      <c r="K29" s="10"/>
      <c r="L29" s="10"/>
      <c r="M29" s="10"/>
      <c r="N29" s="10"/>
      <c r="O29" s="10"/>
      <c r="P29" s="10"/>
      <c r="Q29" s="10"/>
      <c r="R29" s="10"/>
      <c r="S29" s="10"/>
      <c r="T29" s="10"/>
      <c r="U29" s="10"/>
      <c r="V29" s="10"/>
      <c r="W29" s="10"/>
    </row>
    <row r="30" spans="1:24" x14ac:dyDescent="0.2">
      <c r="A30" s="10"/>
      <c r="B30" s="10"/>
      <c r="C30" s="10"/>
      <c r="D30" s="10"/>
      <c r="E30" s="10"/>
      <c r="F30" s="10"/>
      <c r="G30" s="10"/>
      <c r="H30" s="10"/>
      <c r="I30" s="10"/>
      <c r="J30" s="10"/>
      <c r="K30" s="10"/>
      <c r="L30" s="10"/>
      <c r="M30" s="10"/>
      <c r="N30" s="10"/>
      <c r="O30" s="10"/>
      <c r="P30" s="10"/>
      <c r="Q30" s="10"/>
      <c r="R30" s="10"/>
      <c r="S30" s="10"/>
      <c r="T30" s="10"/>
      <c r="U30" s="10"/>
      <c r="V30" s="10"/>
      <c r="W30" s="10"/>
    </row>
    <row r="31" spans="1:24" x14ac:dyDescent="0.2">
      <c r="A31" s="10"/>
      <c r="B31" s="17" t="s">
        <v>200</v>
      </c>
      <c r="C31" s="17"/>
      <c r="D31" s="17"/>
      <c r="E31" s="17"/>
      <c r="F31" s="17"/>
      <c r="G31" s="17"/>
      <c r="H31" s="17"/>
      <c r="I31" s="17"/>
      <c r="J31" s="17"/>
      <c r="K31" s="17"/>
      <c r="L31" s="17"/>
      <c r="M31" s="17"/>
      <c r="N31" s="17"/>
      <c r="O31" s="17"/>
      <c r="P31" s="17"/>
      <c r="Q31" s="17"/>
      <c r="R31" s="17"/>
      <c r="S31" s="17"/>
      <c r="T31" s="17"/>
      <c r="U31" s="17"/>
      <c r="V31" s="17"/>
      <c r="W31" s="17"/>
      <c r="X31" s="8"/>
    </row>
    <row r="32" spans="1:24" x14ac:dyDescent="0.2">
      <c r="A32" s="10"/>
      <c r="B32" s="17" t="s">
        <v>201</v>
      </c>
      <c r="C32" s="17"/>
      <c r="D32" s="17"/>
      <c r="E32" s="17"/>
      <c r="F32" s="17"/>
      <c r="G32" s="17"/>
      <c r="H32" s="17"/>
      <c r="I32" s="17"/>
      <c r="J32" s="17"/>
      <c r="K32" s="17"/>
      <c r="L32" s="17"/>
      <c r="M32" s="17"/>
      <c r="N32" s="17"/>
      <c r="O32" s="17"/>
      <c r="P32" s="17"/>
      <c r="Q32" s="17"/>
      <c r="R32" s="17"/>
      <c r="S32" s="17"/>
      <c r="T32" s="17"/>
      <c r="U32" s="17"/>
      <c r="V32" s="17"/>
      <c r="W32" s="17"/>
      <c r="X32" s="8"/>
    </row>
    <row r="33" spans="1:24" x14ac:dyDescent="0.2">
      <c r="A33" s="10"/>
      <c r="B33" s="17" t="s">
        <v>202</v>
      </c>
      <c r="C33" s="17"/>
      <c r="D33" s="17"/>
      <c r="E33" s="17"/>
      <c r="F33" s="17"/>
      <c r="G33" s="17"/>
      <c r="H33" s="17"/>
      <c r="I33" s="17"/>
      <c r="J33" s="17"/>
      <c r="K33" s="17"/>
      <c r="L33" s="17"/>
      <c r="M33" s="17"/>
      <c r="N33" s="17"/>
      <c r="O33" s="17"/>
      <c r="P33" s="17"/>
      <c r="Q33" s="17"/>
      <c r="R33" s="17"/>
      <c r="S33" s="17"/>
      <c r="T33" s="17"/>
      <c r="U33" s="17"/>
      <c r="V33" s="17"/>
      <c r="W33" s="17"/>
      <c r="X33" s="8"/>
    </row>
    <row r="34" spans="1:24" x14ac:dyDescent="0.2">
      <c r="A34" s="10"/>
      <c r="B34" s="17"/>
      <c r="C34" s="17"/>
      <c r="D34" s="17"/>
      <c r="E34" s="17"/>
      <c r="F34" s="17"/>
      <c r="G34" s="17"/>
      <c r="H34" s="17"/>
      <c r="I34" s="17"/>
      <c r="J34" s="17"/>
      <c r="K34" s="17"/>
      <c r="L34" s="17"/>
      <c r="M34" s="17"/>
      <c r="N34" s="17"/>
      <c r="O34" s="17"/>
      <c r="P34" s="17"/>
      <c r="Q34" s="17"/>
      <c r="R34" s="17"/>
      <c r="S34" s="17"/>
      <c r="T34" s="17"/>
      <c r="U34" s="17"/>
      <c r="V34" s="17"/>
      <c r="W34" s="17"/>
      <c r="X34" s="8"/>
    </row>
    <row r="35" spans="1:24" x14ac:dyDescent="0.2">
      <c r="A35" s="10"/>
      <c r="B35" s="17"/>
      <c r="C35" s="17"/>
      <c r="D35" s="17"/>
      <c r="E35" s="17"/>
      <c r="F35" s="17"/>
      <c r="G35" s="17"/>
      <c r="H35" s="17"/>
      <c r="I35" s="17"/>
      <c r="J35" s="17"/>
      <c r="K35" s="17"/>
      <c r="L35" s="17"/>
      <c r="M35" s="17"/>
      <c r="N35" s="17"/>
      <c r="O35" s="17"/>
      <c r="P35" s="17"/>
      <c r="Q35" s="17"/>
      <c r="R35" s="17"/>
      <c r="S35" s="17"/>
      <c r="T35" s="17"/>
      <c r="U35" s="17"/>
      <c r="V35" s="17"/>
      <c r="W35" s="17"/>
      <c r="X35" s="8"/>
    </row>
    <row r="36" spans="1:24" x14ac:dyDescent="0.2">
      <c r="A36" s="10"/>
      <c r="B36" s="17"/>
      <c r="C36" s="17"/>
      <c r="D36" s="17"/>
      <c r="E36" s="17"/>
      <c r="F36" s="17"/>
      <c r="G36" s="17"/>
      <c r="H36" s="17"/>
      <c r="I36" s="17"/>
      <c r="J36" s="17"/>
      <c r="K36" s="17"/>
      <c r="L36" s="17"/>
      <c r="M36" s="17"/>
      <c r="N36" s="17"/>
      <c r="O36" s="17"/>
      <c r="P36" s="17"/>
      <c r="Q36" s="17"/>
      <c r="R36" s="17"/>
      <c r="S36" s="17"/>
      <c r="T36" s="17"/>
      <c r="U36" s="17"/>
      <c r="V36" s="17"/>
      <c r="W36" s="17"/>
      <c r="X36" s="8"/>
    </row>
    <row r="37" spans="1:24" x14ac:dyDescent="0.2">
      <c r="A37" s="10"/>
      <c r="B37" s="10"/>
      <c r="C37" s="10"/>
      <c r="D37" s="10"/>
      <c r="E37" s="10"/>
      <c r="F37" s="10"/>
      <c r="G37" s="10"/>
      <c r="H37" s="10"/>
      <c r="I37" s="10"/>
      <c r="J37" s="10"/>
      <c r="K37" s="10"/>
      <c r="L37" s="10"/>
      <c r="M37" s="10"/>
      <c r="N37" s="10"/>
      <c r="O37" s="10"/>
      <c r="P37" s="10"/>
      <c r="Q37" s="10"/>
      <c r="R37" s="10"/>
      <c r="S37" s="10"/>
      <c r="T37" s="10"/>
      <c r="U37" s="10"/>
      <c r="V37" s="10"/>
      <c r="W37" s="10"/>
    </row>
    <row r="38" spans="1:24" x14ac:dyDescent="0.2">
      <c r="A38" s="10"/>
      <c r="B38" s="10"/>
      <c r="C38" s="10"/>
      <c r="D38" s="10"/>
      <c r="E38" s="10"/>
      <c r="F38" s="10"/>
      <c r="G38" s="10"/>
      <c r="H38" s="10"/>
      <c r="I38" s="10"/>
      <c r="J38" s="10"/>
      <c r="K38" s="10"/>
      <c r="L38" s="10"/>
      <c r="M38" s="10"/>
      <c r="N38" s="10"/>
      <c r="O38" s="10"/>
      <c r="P38" s="10"/>
      <c r="Q38" s="10"/>
      <c r="R38" s="10"/>
      <c r="S38" s="10"/>
      <c r="T38" s="10"/>
      <c r="U38" s="10"/>
      <c r="V38" s="10"/>
      <c r="W38" s="10"/>
    </row>
    <row r="39" spans="1:24" x14ac:dyDescent="0.2">
      <c r="A39" s="10"/>
      <c r="B39" s="10"/>
      <c r="C39" s="10"/>
      <c r="D39" s="10"/>
      <c r="E39" s="10"/>
      <c r="F39" s="10"/>
      <c r="G39" s="10"/>
      <c r="H39" s="10"/>
      <c r="I39" s="10"/>
      <c r="J39" s="10"/>
      <c r="K39" s="10"/>
      <c r="L39" s="10"/>
      <c r="M39" s="10"/>
      <c r="N39" s="10"/>
      <c r="O39" s="10"/>
      <c r="P39" s="10"/>
      <c r="Q39" s="10"/>
      <c r="R39" s="10"/>
      <c r="S39" s="10"/>
      <c r="T39" s="10"/>
      <c r="U39" s="10"/>
      <c r="V39" s="10"/>
      <c r="W39" s="10"/>
    </row>
    <row r="40" spans="1:24" x14ac:dyDescent="0.2">
      <c r="A40" s="10"/>
      <c r="B40" s="10"/>
      <c r="C40" s="10"/>
      <c r="D40" s="10"/>
      <c r="E40" s="10"/>
      <c r="F40" s="10"/>
      <c r="G40" s="10"/>
      <c r="H40" s="10"/>
      <c r="I40" s="10"/>
      <c r="J40" s="10"/>
      <c r="K40" s="10"/>
      <c r="L40" s="10"/>
      <c r="M40" s="10"/>
      <c r="N40" s="10"/>
      <c r="O40" s="10"/>
      <c r="P40" s="10"/>
      <c r="Q40" s="10"/>
      <c r="R40" s="10"/>
      <c r="S40" s="10"/>
      <c r="T40" s="10"/>
      <c r="U40" s="10"/>
      <c r="V40" s="10"/>
      <c r="W40" s="10"/>
    </row>
    <row r="41" spans="1:24" x14ac:dyDescent="0.2">
      <c r="A41" s="10"/>
      <c r="B41" s="10"/>
      <c r="C41" s="10"/>
      <c r="D41" s="10"/>
      <c r="E41" s="10"/>
      <c r="F41" s="10"/>
      <c r="G41" s="10"/>
      <c r="H41" s="10"/>
      <c r="I41" s="10"/>
      <c r="J41" s="10"/>
      <c r="K41" s="10"/>
      <c r="L41" s="10"/>
      <c r="M41" s="10"/>
      <c r="N41" s="10"/>
      <c r="O41" s="10"/>
      <c r="P41" s="10"/>
      <c r="Q41" s="10"/>
      <c r="R41" s="10"/>
      <c r="S41" s="10"/>
      <c r="T41" s="10"/>
      <c r="U41" s="10"/>
      <c r="V41" s="10"/>
      <c r="W41" s="10"/>
    </row>
    <row r="42" spans="1:24" x14ac:dyDescent="0.2">
      <c r="A42" s="10"/>
      <c r="B42" s="10"/>
      <c r="C42" s="10"/>
      <c r="D42" s="10"/>
      <c r="E42" s="10"/>
      <c r="F42" s="10"/>
      <c r="G42" s="10"/>
      <c r="H42" s="10"/>
      <c r="I42" s="10"/>
      <c r="J42" s="10"/>
      <c r="K42" s="10"/>
      <c r="L42" s="10"/>
      <c r="M42" s="10"/>
      <c r="N42" s="10"/>
      <c r="O42" s="10"/>
      <c r="P42" s="10"/>
      <c r="Q42" s="10"/>
      <c r="R42" s="10"/>
      <c r="S42" s="10"/>
      <c r="T42" s="10"/>
      <c r="U42" s="10"/>
      <c r="V42" s="10"/>
      <c r="W42" s="10"/>
    </row>
    <row r="43" spans="1:24" x14ac:dyDescent="0.2">
      <c r="A43" s="10"/>
      <c r="B43" s="10"/>
      <c r="C43" s="10"/>
      <c r="D43" s="10"/>
      <c r="E43" s="10"/>
      <c r="F43" s="10"/>
      <c r="G43" s="10"/>
      <c r="H43" s="10"/>
      <c r="I43" s="10"/>
      <c r="J43" s="10"/>
      <c r="K43" s="10"/>
      <c r="L43" s="10"/>
      <c r="M43" s="10"/>
      <c r="N43" s="10"/>
      <c r="O43" s="10"/>
      <c r="P43" s="10"/>
      <c r="Q43" s="10"/>
      <c r="R43" s="10"/>
      <c r="S43" s="10"/>
      <c r="T43" s="10"/>
      <c r="U43" s="10"/>
      <c r="V43" s="10"/>
      <c r="W43" s="10"/>
    </row>
    <row r="44" spans="1:24" x14ac:dyDescent="0.2">
      <c r="A44" s="10"/>
      <c r="B44" s="10"/>
      <c r="C44" s="10"/>
      <c r="D44" s="10"/>
      <c r="E44" s="10"/>
      <c r="F44" s="10"/>
      <c r="G44" s="10"/>
      <c r="H44" s="10"/>
      <c r="I44" s="10"/>
      <c r="J44" s="10"/>
      <c r="K44" s="10"/>
      <c r="L44" s="10"/>
      <c r="M44" s="10"/>
      <c r="N44" s="10"/>
      <c r="O44" s="10"/>
      <c r="P44" s="10"/>
      <c r="Q44" s="10"/>
      <c r="R44" s="10"/>
      <c r="S44" s="10"/>
      <c r="T44" s="10"/>
      <c r="U44" s="10"/>
      <c r="V44" s="10"/>
      <c r="W44" s="10"/>
    </row>
    <row r="45" spans="1:24" x14ac:dyDescent="0.2">
      <c r="A45" s="10"/>
      <c r="B45" s="10"/>
      <c r="C45" s="10"/>
      <c r="D45" s="10"/>
      <c r="E45" s="10"/>
      <c r="F45" s="10"/>
      <c r="G45" s="10"/>
      <c r="H45" s="10"/>
      <c r="I45" s="10"/>
      <c r="J45" s="10"/>
      <c r="K45" s="10"/>
      <c r="L45" s="10"/>
      <c r="M45" s="10"/>
      <c r="N45" s="10"/>
      <c r="O45" s="10"/>
      <c r="P45" s="10"/>
      <c r="Q45" s="10"/>
      <c r="R45" s="10"/>
      <c r="S45" s="10"/>
      <c r="T45" s="10"/>
      <c r="U45" s="10"/>
      <c r="V45" s="10"/>
      <c r="W45" s="1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165EC-D8FA-4C97-AE2B-4E093B24DE94}">
  <sheetPr codeName="Sheet2"/>
  <dimension ref="A1:P16"/>
  <sheetViews>
    <sheetView workbookViewId="0">
      <selection activeCell="G11" sqref="G11"/>
    </sheetView>
  </sheetViews>
  <sheetFormatPr defaultRowHeight="12.75" x14ac:dyDescent="0.2"/>
  <cols>
    <col min="2" max="2" width="13.140625" customWidth="1"/>
    <col min="3" max="3" width="16.7109375" customWidth="1"/>
    <col min="4" max="4" width="16.140625" customWidth="1"/>
  </cols>
  <sheetData>
    <row r="1" spans="1:16" x14ac:dyDescent="0.2">
      <c r="A1" s="38" t="s">
        <v>203</v>
      </c>
      <c r="B1" s="38"/>
      <c r="C1" s="38"/>
      <c r="D1" s="38"/>
      <c r="E1" s="38"/>
      <c r="F1" s="38"/>
      <c r="G1" s="38"/>
      <c r="H1" s="38"/>
      <c r="I1" s="38"/>
      <c r="J1" s="38"/>
      <c r="K1" s="38"/>
      <c r="L1" s="38"/>
      <c r="M1" s="38"/>
      <c r="N1" s="38"/>
      <c r="O1" s="38"/>
      <c r="P1" s="38"/>
    </row>
    <row r="2" spans="1:16" x14ac:dyDescent="0.2">
      <c r="A2" s="38"/>
      <c r="B2" s="38"/>
      <c r="C2" s="38"/>
      <c r="D2" s="38"/>
      <c r="E2" s="38"/>
      <c r="F2" s="38"/>
      <c r="G2" s="38"/>
      <c r="H2" s="38"/>
      <c r="I2" s="38"/>
      <c r="J2" s="38"/>
      <c r="K2" s="38"/>
      <c r="L2" s="38"/>
      <c r="M2" s="38"/>
      <c r="N2" s="38"/>
      <c r="O2" s="38"/>
      <c r="P2" s="38"/>
    </row>
    <row r="3" spans="1:16" ht="20.25" x14ac:dyDescent="0.3">
      <c r="A3" s="20" t="s">
        <v>207</v>
      </c>
      <c r="B3" s="19"/>
      <c r="C3" s="19"/>
      <c r="D3" s="19"/>
      <c r="E3" s="19"/>
      <c r="F3" s="19"/>
      <c r="G3" s="19"/>
      <c r="H3" s="19"/>
      <c r="I3" s="19"/>
      <c r="J3" s="18"/>
      <c r="K3" s="18"/>
      <c r="L3" s="18"/>
      <c r="M3" s="18"/>
    </row>
    <row r="4" spans="1:16" ht="20.25" x14ac:dyDescent="0.3">
      <c r="A4" s="19"/>
      <c r="B4" s="19"/>
      <c r="C4" s="19"/>
      <c r="D4" s="19"/>
      <c r="E4" s="19"/>
      <c r="F4" s="19"/>
      <c r="G4" s="19"/>
      <c r="H4" s="19"/>
      <c r="I4" s="19"/>
    </row>
    <row r="6" spans="1:16" x14ac:dyDescent="0.2">
      <c r="B6" s="21" t="s">
        <v>208</v>
      </c>
      <c r="C6" s="21" t="s">
        <v>204</v>
      </c>
      <c r="D6" s="21" t="s">
        <v>205</v>
      </c>
    </row>
    <row r="7" spans="1:16" x14ac:dyDescent="0.2">
      <c r="B7" s="22" t="s">
        <v>209</v>
      </c>
      <c r="C7" s="22" t="s">
        <v>210</v>
      </c>
      <c r="D7" s="23">
        <v>8</v>
      </c>
    </row>
    <row r="8" spans="1:16" x14ac:dyDescent="0.2">
      <c r="B8" s="22" t="s">
        <v>211</v>
      </c>
      <c r="C8" s="22" t="s">
        <v>212</v>
      </c>
      <c r="D8" s="22">
        <v>15</v>
      </c>
    </row>
    <row r="9" spans="1:16" x14ac:dyDescent="0.2">
      <c r="B9" s="22" t="s">
        <v>213</v>
      </c>
      <c r="C9" s="22" t="s">
        <v>214</v>
      </c>
      <c r="D9" s="24">
        <v>60</v>
      </c>
    </row>
    <row r="10" spans="1:16" x14ac:dyDescent="0.2">
      <c r="B10" s="22" t="s">
        <v>215</v>
      </c>
      <c r="C10" s="22" t="s">
        <v>216</v>
      </c>
      <c r="D10" s="23">
        <v>5</v>
      </c>
    </row>
    <row r="11" spans="1:16" x14ac:dyDescent="0.2">
      <c r="B11" s="22" t="s">
        <v>217</v>
      </c>
      <c r="C11" s="22" t="s">
        <v>218</v>
      </c>
      <c r="D11" s="22">
        <v>25</v>
      </c>
    </row>
    <row r="12" spans="1:16" x14ac:dyDescent="0.2">
      <c r="B12" s="22" t="s">
        <v>219</v>
      </c>
      <c r="C12" s="22" t="s">
        <v>220</v>
      </c>
      <c r="D12" s="24">
        <v>70</v>
      </c>
    </row>
    <row r="13" spans="1:16" x14ac:dyDescent="0.2">
      <c r="B13" s="22" t="s">
        <v>221</v>
      </c>
      <c r="C13" s="22" t="s">
        <v>222</v>
      </c>
      <c r="D13" s="23">
        <v>9</v>
      </c>
    </row>
    <row r="14" spans="1:16" x14ac:dyDescent="0.2">
      <c r="B14" s="22" t="s">
        <v>223</v>
      </c>
      <c r="C14" s="22" t="s">
        <v>224</v>
      </c>
      <c r="D14" s="22">
        <v>18</v>
      </c>
    </row>
    <row r="15" spans="1:16" x14ac:dyDescent="0.2">
      <c r="B15" s="22" t="s">
        <v>225</v>
      </c>
      <c r="C15" s="22" t="s">
        <v>226</v>
      </c>
      <c r="D15" s="24">
        <v>55</v>
      </c>
    </row>
    <row r="16" spans="1:16" x14ac:dyDescent="0.2">
      <c r="B16" s="22" t="s">
        <v>227</v>
      </c>
      <c r="C16" s="22" t="s">
        <v>228</v>
      </c>
      <c r="D16" s="22">
        <v>30</v>
      </c>
    </row>
  </sheetData>
  <mergeCells count="1">
    <mergeCell ref="A1:P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0B737-4998-46CF-8E64-59175CF370C1}">
  <sheetPr codeName="Sheet6"/>
  <dimension ref="A1:Q61"/>
  <sheetViews>
    <sheetView topLeftCell="B1" workbookViewId="0">
      <selection activeCell="O14" sqref="O14"/>
    </sheetView>
  </sheetViews>
  <sheetFormatPr defaultRowHeight="12.75" x14ac:dyDescent="0.2"/>
  <sheetData>
    <row r="1" spans="1:17" ht="12.75" customHeight="1" x14ac:dyDescent="0.2">
      <c r="A1" s="33" t="s">
        <v>206</v>
      </c>
      <c r="B1" s="33"/>
      <c r="C1" s="33"/>
      <c r="D1" s="33"/>
      <c r="E1" s="33"/>
      <c r="F1" s="33"/>
      <c r="G1" s="33"/>
      <c r="H1" s="33"/>
      <c r="I1" s="33"/>
      <c r="J1" s="33"/>
      <c r="K1" s="33"/>
      <c r="L1" s="33"/>
      <c r="M1" s="33"/>
      <c r="N1" s="33"/>
      <c r="O1" s="33"/>
    </row>
    <row r="2" spans="1:17" ht="12.75" customHeight="1" x14ac:dyDescent="0.2">
      <c r="A2" s="33"/>
      <c r="B2" s="33"/>
      <c r="C2" s="33"/>
      <c r="D2" s="33"/>
      <c r="E2" s="33"/>
      <c r="F2" s="33"/>
      <c r="G2" s="33"/>
      <c r="H2" s="33"/>
      <c r="I2" s="33"/>
      <c r="J2" s="33"/>
      <c r="K2" s="33"/>
      <c r="L2" s="33"/>
      <c r="M2" s="33"/>
      <c r="N2" s="33"/>
      <c r="O2" s="33"/>
    </row>
    <row r="3" spans="1:17" x14ac:dyDescent="0.2">
      <c r="A3" s="33"/>
      <c r="B3" s="33"/>
      <c r="C3" s="33"/>
      <c r="D3" s="33"/>
      <c r="E3" s="33"/>
      <c r="F3" s="33"/>
      <c r="G3" s="33"/>
      <c r="H3" s="33"/>
      <c r="I3" s="33"/>
      <c r="J3" s="33"/>
      <c r="K3" s="33"/>
      <c r="L3" s="33"/>
      <c r="M3" s="33"/>
      <c r="N3" s="33"/>
      <c r="O3" s="33"/>
    </row>
    <row r="4" spans="1:17" x14ac:dyDescent="0.2">
      <c r="A4" s="33"/>
      <c r="B4" s="33"/>
      <c r="C4" s="33"/>
      <c r="D4" s="33"/>
      <c r="E4" s="33"/>
      <c r="F4" s="33"/>
      <c r="G4" s="33"/>
      <c r="H4" s="33"/>
      <c r="I4" s="33"/>
      <c r="J4" s="33"/>
      <c r="K4" s="33"/>
      <c r="L4" s="33"/>
      <c r="M4" s="33"/>
      <c r="N4" s="33"/>
      <c r="O4" s="33"/>
    </row>
    <row r="5" spans="1:17" x14ac:dyDescent="0.2">
      <c r="A5" s="33"/>
      <c r="B5" s="33"/>
      <c r="C5" s="33"/>
      <c r="D5" s="33"/>
      <c r="E5" s="33"/>
      <c r="F5" s="33"/>
      <c r="G5" s="33"/>
      <c r="H5" s="33"/>
      <c r="I5" s="33"/>
      <c r="J5" s="33"/>
      <c r="K5" s="33"/>
      <c r="L5" s="33"/>
      <c r="M5" s="33"/>
      <c r="N5" s="33"/>
      <c r="O5" s="33"/>
    </row>
    <row r="6" spans="1:17" x14ac:dyDescent="0.2">
      <c r="A6" s="33"/>
      <c r="B6" s="33"/>
      <c r="C6" s="33"/>
      <c r="D6" s="33"/>
      <c r="E6" s="33"/>
      <c r="F6" s="33"/>
      <c r="G6" s="33"/>
      <c r="H6" s="33"/>
      <c r="I6" s="33"/>
      <c r="J6" s="33"/>
      <c r="K6" s="33"/>
      <c r="L6" s="33"/>
      <c r="M6" s="33"/>
      <c r="N6" s="33"/>
      <c r="O6" s="33"/>
    </row>
    <row r="7" spans="1:17" x14ac:dyDescent="0.2">
      <c r="A7" s="33"/>
      <c r="B7" s="33"/>
      <c r="C7" s="33"/>
      <c r="D7" s="33"/>
      <c r="E7" s="33"/>
      <c r="F7" s="33"/>
      <c r="G7" s="33"/>
      <c r="H7" s="33"/>
      <c r="I7" s="33"/>
      <c r="J7" s="33"/>
      <c r="K7" s="33"/>
      <c r="L7" s="33"/>
      <c r="M7" s="33"/>
      <c r="N7" s="33"/>
      <c r="O7" s="33"/>
    </row>
    <row r="8" spans="1:17" x14ac:dyDescent="0.2">
      <c r="A8" s="33"/>
      <c r="B8" s="33"/>
      <c r="C8" s="33"/>
      <c r="D8" s="33"/>
      <c r="E8" s="33"/>
      <c r="F8" s="33"/>
      <c r="G8" s="33"/>
      <c r="H8" s="33"/>
      <c r="I8" s="33"/>
      <c r="J8" s="33"/>
      <c r="K8" s="33"/>
      <c r="L8" s="33"/>
      <c r="M8" s="33"/>
      <c r="N8" s="33"/>
      <c r="O8" s="33"/>
    </row>
    <row r="9" spans="1:17" x14ac:dyDescent="0.2">
      <c r="A9" s="33"/>
      <c r="B9" s="33"/>
      <c r="C9" s="33"/>
      <c r="D9" s="33"/>
      <c r="E9" s="33"/>
      <c r="F9" s="33"/>
      <c r="G9" s="33"/>
      <c r="H9" s="33"/>
      <c r="I9" s="33"/>
      <c r="J9" s="33"/>
      <c r="K9" s="33"/>
      <c r="L9" s="33"/>
      <c r="M9" s="33"/>
      <c r="N9" s="33"/>
      <c r="O9" s="33"/>
    </row>
    <row r="10" spans="1:17" ht="20.25" x14ac:dyDescent="0.3">
      <c r="C10" s="39" t="s">
        <v>343</v>
      </c>
      <c r="D10" s="39"/>
      <c r="E10" s="39"/>
      <c r="F10" s="39"/>
      <c r="G10" s="39"/>
      <c r="H10" s="39"/>
      <c r="I10" s="39"/>
      <c r="J10" s="39"/>
    </row>
    <row r="11" spans="1:17" ht="13.5" thickBot="1" x14ac:dyDescent="0.25"/>
    <row r="12" spans="1:17" ht="45.75" thickBot="1" x14ac:dyDescent="0.25">
      <c r="A12" s="25" t="s">
        <v>229</v>
      </c>
      <c r="B12" s="26" t="s">
        <v>1</v>
      </c>
      <c r="C12" s="26" t="s">
        <v>230</v>
      </c>
      <c r="D12" s="26" t="s">
        <v>231</v>
      </c>
      <c r="E12" s="26" t="s">
        <v>232</v>
      </c>
      <c r="F12" s="26" t="s">
        <v>204</v>
      </c>
      <c r="G12" s="26" t="s">
        <v>233</v>
      </c>
      <c r="H12" s="26" t="s">
        <v>234</v>
      </c>
      <c r="I12" s="26" t="s">
        <v>235</v>
      </c>
      <c r="J12" s="26" t="s">
        <v>236</v>
      </c>
      <c r="K12" s="26" t="s">
        <v>237</v>
      </c>
      <c r="L12" s="26" t="s">
        <v>238</v>
      </c>
      <c r="O12" s="30" t="s">
        <v>344</v>
      </c>
    </row>
    <row r="13" spans="1:17" ht="30.75" thickBot="1" x14ac:dyDescent="0.3">
      <c r="A13" s="27">
        <v>1001</v>
      </c>
      <c r="B13" s="28">
        <v>45658</v>
      </c>
      <c r="C13" s="29" t="s">
        <v>152</v>
      </c>
      <c r="D13" s="29" t="s">
        <v>239</v>
      </c>
      <c r="E13" s="29" t="s">
        <v>240</v>
      </c>
      <c r="F13" s="29" t="s">
        <v>241</v>
      </c>
      <c r="G13" s="27">
        <v>10</v>
      </c>
      <c r="H13" s="27">
        <v>999</v>
      </c>
      <c r="I13" s="27">
        <v>999</v>
      </c>
      <c r="J13" s="27">
        <v>998001</v>
      </c>
      <c r="K13" s="27">
        <v>28</v>
      </c>
      <c r="L13" s="29" t="s">
        <v>242</v>
      </c>
    </row>
    <row r="14" spans="1:17" ht="30.75" thickBot="1" x14ac:dyDescent="0.3">
      <c r="A14" s="27">
        <v>1003</v>
      </c>
      <c r="B14" s="28">
        <v>45660</v>
      </c>
      <c r="C14" s="29" t="s">
        <v>243</v>
      </c>
      <c r="D14" s="29" t="s">
        <v>244</v>
      </c>
      <c r="E14" s="29" t="s">
        <v>245</v>
      </c>
      <c r="F14" s="29" t="s">
        <v>246</v>
      </c>
      <c r="G14" s="27">
        <v>3</v>
      </c>
      <c r="H14" s="27">
        <v>1999</v>
      </c>
      <c r="I14" s="27">
        <v>5997</v>
      </c>
      <c r="J14" s="27">
        <v>25</v>
      </c>
      <c r="K14" s="27">
        <v>40</v>
      </c>
      <c r="L14" s="29" t="s">
        <v>247</v>
      </c>
      <c r="O14" s="30" t="s">
        <v>246</v>
      </c>
      <c r="Q14">
        <f>_xlfn.XLOOKUP(O14, F:F, H:H,"Select the Product Name",1,1)</f>
        <v>1999</v>
      </c>
    </row>
    <row r="15" spans="1:17" ht="45.75" thickBot="1" x14ac:dyDescent="0.3">
      <c r="A15" s="27">
        <v>1004</v>
      </c>
      <c r="B15" s="28">
        <v>45661</v>
      </c>
      <c r="C15" s="29" t="s">
        <v>248</v>
      </c>
      <c r="D15" s="29" t="s">
        <v>249</v>
      </c>
      <c r="E15" s="29" t="s">
        <v>240</v>
      </c>
      <c r="F15" s="29" t="s">
        <v>250</v>
      </c>
      <c r="G15" s="27">
        <v>6</v>
      </c>
      <c r="H15" s="27">
        <v>2499</v>
      </c>
      <c r="I15" s="27">
        <v>9996</v>
      </c>
      <c r="J15" s="27">
        <v>30</v>
      </c>
      <c r="K15" s="27">
        <v>24</v>
      </c>
      <c r="L15" s="29" t="s">
        <v>251</v>
      </c>
    </row>
    <row r="16" spans="1:17" ht="30.75" thickBot="1" x14ac:dyDescent="0.3">
      <c r="A16" s="27">
        <v>1005</v>
      </c>
      <c r="B16" s="28">
        <v>45662</v>
      </c>
      <c r="C16" s="29" t="s">
        <v>252</v>
      </c>
      <c r="D16" s="29" t="s">
        <v>239</v>
      </c>
      <c r="E16" s="29" t="s">
        <v>253</v>
      </c>
      <c r="F16" s="29" t="s">
        <v>254</v>
      </c>
      <c r="G16" s="27">
        <v>8</v>
      </c>
      <c r="H16" s="27">
        <v>2999</v>
      </c>
      <c r="I16" s="27">
        <v>14995</v>
      </c>
      <c r="J16" s="27">
        <v>18</v>
      </c>
      <c r="K16" s="27">
        <v>31</v>
      </c>
      <c r="L16" s="29" t="s">
        <v>242</v>
      </c>
    </row>
    <row r="17" spans="1:12" ht="30.75" thickBot="1" x14ac:dyDescent="0.3">
      <c r="A17" s="27">
        <v>1006</v>
      </c>
      <c r="B17" s="28">
        <v>45663</v>
      </c>
      <c r="C17" s="29" t="s">
        <v>255</v>
      </c>
      <c r="D17" s="29" t="s">
        <v>256</v>
      </c>
      <c r="E17" s="29" t="s">
        <v>245</v>
      </c>
      <c r="F17" s="29" t="s">
        <v>218</v>
      </c>
      <c r="G17" s="27">
        <v>3</v>
      </c>
      <c r="H17" s="27">
        <v>999</v>
      </c>
      <c r="I17" s="27">
        <v>4995</v>
      </c>
      <c r="J17" s="27">
        <v>15</v>
      </c>
      <c r="K17" s="27">
        <v>29</v>
      </c>
      <c r="L17" s="29" t="s">
        <v>257</v>
      </c>
    </row>
    <row r="18" spans="1:12" ht="30.75" thickBot="1" x14ac:dyDescent="0.3">
      <c r="A18" s="27">
        <v>1007</v>
      </c>
      <c r="B18" s="28">
        <v>45664</v>
      </c>
      <c r="C18" s="29" t="s">
        <v>258</v>
      </c>
      <c r="D18" s="29" t="s">
        <v>244</v>
      </c>
      <c r="E18" s="29" t="s">
        <v>240</v>
      </c>
      <c r="F18" s="29" t="s">
        <v>259</v>
      </c>
      <c r="G18" s="27">
        <v>9</v>
      </c>
      <c r="H18" s="27">
        <v>1499</v>
      </c>
      <c r="I18" s="27">
        <v>2998</v>
      </c>
      <c r="J18" s="27">
        <v>20</v>
      </c>
      <c r="K18" s="27">
        <v>45</v>
      </c>
      <c r="L18" s="29" t="s">
        <v>247</v>
      </c>
    </row>
    <row r="19" spans="1:12" ht="30.75" thickBot="1" x14ac:dyDescent="0.3">
      <c r="A19" s="27">
        <v>1008</v>
      </c>
      <c r="B19" s="28">
        <v>45665</v>
      </c>
      <c r="C19" s="29" t="s">
        <v>260</v>
      </c>
      <c r="D19" s="29" t="s">
        <v>249</v>
      </c>
      <c r="E19" s="29" t="s">
        <v>253</v>
      </c>
      <c r="F19" s="29" t="s">
        <v>261</v>
      </c>
      <c r="G19" s="27">
        <v>5</v>
      </c>
      <c r="H19" s="27">
        <v>1999</v>
      </c>
      <c r="I19" s="27">
        <v>5997</v>
      </c>
      <c r="J19" s="27">
        <v>25</v>
      </c>
      <c r="K19" s="27">
        <v>32</v>
      </c>
      <c r="L19" s="29" t="s">
        <v>251</v>
      </c>
    </row>
    <row r="20" spans="1:12" ht="30.75" thickBot="1" x14ac:dyDescent="0.3">
      <c r="A20" s="27">
        <v>1009</v>
      </c>
      <c r="B20" s="28">
        <v>45666</v>
      </c>
      <c r="C20" s="29" t="s">
        <v>262</v>
      </c>
      <c r="D20" s="29" t="s">
        <v>239</v>
      </c>
      <c r="E20" s="29" t="s">
        <v>245</v>
      </c>
      <c r="F20" s="29" t="s">
        <v>263</v>
      </c>
      <c r="G20" s="27">
        <v>2</v>
      </c>
      <c r="H20" s="27">
        <v>2499</v>
      </c>
      <c r="I20" s="27">
        <v>19992</v>
      </c>
      <c r="J20" s="27">
        <v>30</v>
      </c>
      <c r="K20" s="27">
        <v>27</v>
      </c>
      <c r="L20" s="29" t="s">
        <v>242</v>
      </c>
    </row>
    <row r="21" spans="1:12" ht="30.75" thickBot="1" x14ac:dyDescent="0.3">
      <c r="A21" s="27">
        <v>10010</v>
      </c>
      <c r="B21" s="28">
        <v>45667</v>
      </c>
      <c r="C21" s="29" t="s">
        <v>264</v>
      </c>
      <c r="D21" s="29" t="s">
        <v>256</v>
      </c>
      <c r="E21" s="29" t="s">
        <v>240</v>
      </c>
      <c r="F21" s="29" t="s">
        <v>265</v>
      </c>
      <c r="G21" s="27">
        <v>7</v>
      </c>
      <c r="H21" s="27">
        <v>2999</v>
      </c>
      <c r="I21" s="27">
        <v>14995</v>
      </c>
      <c r="J21" s="27">
        <v>18</v>
      </c>
      <c r="K21" s="27">
        <v>39</v>
      </c>
      <c r="L21" s="29" t="s">
        <v>257</v>
      </c>
    </row>
    <row r="22" spans="1:12" ht="30.75" thickBot="1" x14ac:dyDescent="0.3">
      <c r="A22" s="27">
        <v>10011</v>
      </c>
      <c r="B22" s="28">
        <v>45668</v>
      </c>
      <c r="C22" s="29" t="s">
        <v>266</v>
      </c>
      <c r="D22" s="29" t="s">
        <v>244</v>
      </c>
      <c r="E22" s="29" t="s">
        <v>253</v>
      </c>
      <c r="F22" s="29" t="s">
        <v>267</v>
      </c>
      <c r="G22" s="27">
        <v>10</v>
      </c>
      <c r="H22" s="27">
        <v>999</v>
      </c>
      <c r="I22" s="27">
        <v>999</v>
      </c>
      <c r="J22" s="27">
        <v>15</v>
      </c>
      <c r="K22" s="27">
        <v>28</v>
      </c>
      <c r="L22" s="29" t="s">
        <v>247</v>
      </c>
    </row>
    <row r="23" spans="1:12" ht="30.75" thickBot="1" x14ac:dyDescent="0.3">
      <c r="A23" s="27">
        <v>10012</v>
      </c>
      <c r="B23" s="28">
        <v>45669</v>
      </c>
      <c r="C23" s="29" t="s">
        <v>268</v>
      </c>
      <c r="D23" s="29" t="s">
        <v>249</v>
      </c>
      <c r="E23" s="29" t="s">
        <v>245</v>
      </c>
      <c r="F23" s="29" t="s">
        <v>224</v>
      </c>
      <c r="G23" s="27">
        <v>3</v>
      </c>
      <c r="H23" s="27">
        <v>1499</v>
      </c>
      <c r="I23" s="27">
        <v>11992</v>
      </c>
      <c r="J23" s="27">
        <v>20</v>
      </c>
      <c r="K23" s="27">
        <v>35</v>
      </c>
      <c r="L23" s="29" t="s">
        <v>251</v>
      </c>
    </row>
    <row r="24" spans="1:12" ht="30.75" thickBot="1" x14ac:dyDescent="0.3">
      <c r="A24" s="27">
        <v>10013</v>
      </c>
      <c r="B24" s="28">
        <v>45670</v>
      </c>
      <c r="C24" s="29" t="s">
        <v>269</v>
      </c>
      <c r="D24" s="29" t="s">
        <v>239</v>
      </c>
      <c r="E24" s="29" t="s">
        <v>240</v>
      </c>
      <c r="F24" s="29" t="s">
        <v>270</v>
      </c>
      <c r="G24" s="27">
        <v>3</v>
      </c>
      <c r="H24" s="27">
        <v>1999</v>
      </c>
      <c r="I24" s="27">
        <v>5997</v>
      </c>
      <c r="J24" s="27">
        <v>25</v>
      </c>
      <c r="K24" s="27">
        <v>40</v>
      </c>
      <c r="L24" s="29" t="s">
        <v>242</v>
      </c>
    </row>
    <row r="25" spans="1:12" ht="30.75" thickBot="1" x14ac:dyDescent="0.3">
      <c r="A25" s="27">
        <v>10014</v>
      </c>
      <c r="B25" s="28">
        <v>45671</v>
      </c>
      <c r="C25" s="29" t="s">
        <v>271</v>
      </c>
      <c r="D25" s="29" t="s">
        <v>256</v>
      </c>
      <c r="E25" s="29" t="s">
        <v>253</v>
      </c>
      <c r="F25" s="29" t="s">
        <v>272</v>
      </c>
      <c r="G25" s="27">
        <v>6</v>
      </c>
      <c r="H25" s="27">
        <v>2499</v>
      </c>
      <c r="I25" s="27">
        <v>9996</v>
      </c>
      <c r="J25" s="27">
        <v>30</v>
      </c>
      <c r="K25" s="27">
        <v>24</v>
      </c>
      <c r="L25" s="29" t="s">
        <v>257</v>
      </c>
    </row>
    <row r="26" spans="1:12" ht="30.75" thickBot="1" x14ac:dyDescent="0.3">
      <c r="A26" s="27">
        <v>10015</v>
      </c>
      <c r="B26" s="28">
        <v>45672</v>
      </c>
      <c r="C26" s="29" t="s">
        <v>273</v>
      </c>
      <c r="D26" s="29" t="s">
        <v>244</v>
      </c>
      <c r="E26" s="29" t="s">
        <v>245</v>
      </c>
      <c r="F26" s="29" t="s">
        <v>274</v>
      </c>
      <c r="G26" s="27">
        <v>6</v>
      </c>
      <c r="H26" s="27">
        <v>2999</v>
      </c>
      <c r="I26" s="27">
        <v>14995</v>
      </c>
      <c r="J26" s="27">
        <v>18</v>
      </c>
      <c r="K26" s="27">
        <v>31</v>
      </c>
      <c r="L26" s="29" t="s">
        <v>247</v>
      </c>
    </row>
    <row r="27" spans="1:12" ht="30.75" thickBot="1" x14ac:dyDescent="0.3">
      <c r="A27" s="27">
        <v>10016</v>
      </c>
      <c r="B27" s="28">
        <v>45673</v>
      </c>
      <c r="C27" s="29" t="s">
        <v>275</v>
      </c>
      <c r="D27" s="29" t="s">
        <v>249</v>
      </c>
      <c r="E27" s="29" t="s">
        <v>240</v>
      </c>
      <c r="F27" s="29" t="s">
        <v>276</v>
      </c>
      <c r="G27" s="27">
        <v>10</v>
      </c>
      <c r="H27" s="27">
        <v>999</v>
      </c>
      <c r="I27" s="27">
        <v>5994</v>
      </c>
      <c r="J27" s="27">
        <v>15</v>
      </c>
      <c r="K27" s="27">
        <v>29</v>
      </c>
      <c r="L27" s="29" t="s">
        <v>251</v>
      </c>
    </row>
    <row r="28" spans="1:12" ht="30.75" thickBot="1" x14ac:dyDescent="0.3">
      <c r="A28" s="27">
        <v>10017</v>
      </c>
      <c r="B28" s="28">
        <v>45674</v>
      </c>
      <c r="C28" s="29" t="s">
        <v>277</v>
      </c>
      <c r="D28" s="29" t="s">
        <v>239</v>
      </c>
      <c r="E28" s="29" t="s">
        <v>253</v>
      </c>
      <c r="F28" s="29" t="s">
        <v>278</v>
      </c>
      <c r="G28" s="27">
        <v>4</v>
      </c>
      <c r="H28" s="27">
        <v>1499</v>
      </c>
      <c r="I28" s="27">
        <v>2998</v>
      </c>
      <c r="J28" s="27">
        <v>20</v>
      </c>
      <c r="K28" s="27">
        <v>45</v>
      </c>
      <c r="L28" s="29" t="s">
        <v>242</v>
      </c>
    </row>
    <row r="29" spans="1:12" ht="30.75" thickBot="1" x14ac:dyDescent="0.3">
      <c r="A29" s="27">
        <v>10018</v>
      </c>
      <c r="B29" s="28">
        <v>45675</v>
      </c>
      <c r="C29" s="29" t="s">
        <v>279</v>
      </c>
      <c r="D29" s="29" t="s">
        <v>256</v>
      </c>
      <c r="E29" s="29" t="s">
        <v>245</v>
      </c>
      <c r="F29" s="29" t="s">
        <v>280</v>
      </c>
      <c r="G29" s="27">
        <v>5</v>
      </c>
      <c r="H29" s="27">
        <v>1999</v>
      </c>
      <c r="I29" s="27">
        <v>13993</v>
      </c>
      <c r="J29" s="27">
        <v>25</v>
      </c>
      <c r="K29" s="27">
        <v>32</v>
      </c>
      <c r="L29" s="29" t="s">
        <v>257</v>
      </c>
    </row>
    <row r="30" spans="1:12" ht="30.75" thickBot="1" x14ac:dyDescent="0.3">
      <c r="A30" s="27">
        <v>10019</v>
      </c>
      <c r="B30" s="28">
        <v>45676</v>
      </c>
      <c r="C30" s="29" t="s">
        <v>281</v>
      </c>
      <c r="D30" s="29" t="s">
        <v>244</v>
      </c>
      <c r="E30" s="29" t="s">
        <v>240</v>
      </c>
      <c r="F30" s="29" t="s">
        <v>282</v>
      </c>
      <c r="G30" s="27">
        <v>7</v>
      </c>
      <c r="H30" s="27">
        <v>2499</v>
      </c>
      <c r="I30" s="27">
        <v>9996</v>
      </c>
      <c r="J30" s="27">
        <v>30</v>
      </c>
      <c r="K30" s="27">
        <v>27</v>
      </c>
      <c r="L30" s="29" t="s">
        <v>247</v>
      </c>
    </row>
    <row r="31" spans="1:12" ht="30.75" thickBot="1" x14ac:dyDescent="0.3">
      <c r="A31" s="27">
        <v>10020</v>
      </c>
      <c r="B31" s="28">
        <v>45677</v>
      </c>
      <c r="C31" s="29" t="s">
        <v>283</v>
      </c>
      <c r="D31" s="29" t="s">
        <v>249</v>
      </c>
      <c r="E31" s="29" t="s">
        <v>253</v>
      </c>
      <c r="F31" s="29" t="s">
        <v>284</v>
      </c>
      <c r="G31" s="27">
        <v>6</v>
      </c>
      <c r="H31" s="27">
        <v>2999</v>
      </c>
      <c r="I31" s="27">
        <v>14995</v>
      </c>
      <c r="J31" s="27">
        <v>18</v>
      </c>
      <c r="K31" s="27">
        <v>39</v>
      </c>
      <c r="L31" s="29" t="s">
        <v>251</v>
      </c>
    </row>
    <row r="32" spans="1:12" ht="30.75" thickBot="1" x14ac:dyDescent="0.3">
      <c r="A32" s="27">
        <v>10021</v>
      </c>
      <c r="B32" s="28">
        <v>45678</v>
      </c>
      <c r="C32" s="29" t="s">
        <v>285</v>
      </c>
      <c r="D32" s="29" t="s">
        <v>239</v>
      </c>
      <c r="E32" s="29" t="s">
        <v>245</v>
      </c>
      <c r="F32" s="29" t="s">
        <v>286</v>
      </c>
      <c r="G32" s="27">
        <v>7</v>
      </c>
      <c r="H32" s="27">
        <v>999</v>
      </c>
      <c r="I32" s="27">
        <v>999</v>
      </c>
      <c r="J32" s="27">
        <v>15</v>
      </c>
      <c r="K32" s="27">
        <v>28</v>
      </c>
      <c r="L32" s="29" t="s">
        <v>242</v>
      </c>
    </row>
    <row r="33" spans="1:12" ht="30.75" thickBot="1" x14ac:dyDescent="0.3">
      <c r="A33" s="27">
        <v>10022</v>
      </c>
      <c r="B33" s="28">
        <v>45679</v>
      </c>
      <c r="C33" s="29" t="s">
        <v>287</v>
      </c>
      <c r="D33" s="29" t="s">
        <v>256</v>
      </c>
      <c r="E33" s="29" t="s">
        <v>240</v>
      </c>
      <c r="F33" s="29" t="s">
        <v>288</v>
      </c>
      <c r="G33" s="27">
        <v>3</v>
      </c>
      <c r="H33" s="27">
        <v>1499</v>
      </c>
      <c r="I33" s="27">
        <v>17988</v>
      </c>
      <c r="J33" s="27">
        <v>20</v>
      </c>
      <c r="K33" s="27">
        <v>35</v>
      </c>
      <c r="L33" s="29" t="s">
        <v>257</v>
      </c>
    </row>
    <row r="34" spans="1:12" ht="30.75" thickBot="1" x14ac:dyDescent="0.3">
      <c r="A34" s="27">
        <v>10023</v>
      </c>
      <c r="B34" s="28">
        <v>45680</v>
      </c>
      <c r="C34" s="29" t="s">
        <v>289</v>
      </c>
      <c r="D34" s="29" t="s">
        <v>244</v>
      </c>
      <c r="E34" s="29" t="s">
        <v>253</v>
      </c>
      <c r="F34" s="29" t="s">
        <v>290</v>
      </c>
      <c r="G34" s="27">
        <v>4</v>
      </c>
      <c r="H34" s="27">
        <v>1999</v>
      </c>
      <c r="I34" s="27">
        <v>5997</v>
      </c>
      <c r="J34" s="27">
        <v>25</v>
      </c>
      <c r="K34" s="27">
        <v>40</v>
      </c>
      <c r="L34" s="29" t="s">
        <v>247</v>
      </c>
    </row>
    <row r="35" spans="1:12" ht="45.75" thickBot="1" x14ac:dyDescent="0.3">
      <c r="A35" s="27">
        <v>10024</v>
      </c>
      <c r="B35" s="28">
        <v>45681</v>
      </c>
      <c r="C35" s="29" t="s">
        <v>291</v>
      </c>
      <c r="D35" s="29" t="s">
        <v>249</v>
      </c>
      <c r="E35" s="29" t="s">
        <v>245</v>
      </c>
      <c r="F35" s="29" t="s">
        <v>292</v>
      </c>
      <c r="G35" s="27">
        <v>10</v>
      </c>
      <c r="H35" s="27">
        <v>2499</v>
      </c>
      <c r="I35" s="27">
        <v>9996</v>
      </c>
      <c r="J35" s="27">
        <v>30</v>
      </c>
      <c r="K35" s="27">
        <v>24</v>
      </c>
      <c r="L35" s="29" t="s">
        <v>251</v>
      </c>
    </row>
    <row r="36" spans="1:12" ht="30.75" thickBot="1" x14ac:dyDescent="0.3">
      <c r="A36" s="27">
        <v>10025</v>
      </c>
      <c r="B36" s="28">
        <v>45682</v>
      </c>
      <c r="C36" s="29" t="s">
        <v>293</v>
      </c>
      <c r="D36" s="29" t="s">
        <v>239</v>
      </c>
      <c r="E36" s="29" t="s">
        <v>240</v>
      </c>
      <c r="F36" s="29" t="s">
        <v>294</v>
      </c>
      <c r="G36" s="27">
        <v>8</v>
      </c>
      <c r="H36" s="27">
        <v>2999</v>
      </c>
      <c r="I36" s="27">
        <v>14995</v>
      </c>
      <c r="J36" s="27">
        <v>18</v>
      </c>
      <c r="K36" s="27">
        <v>31</v>
      </c>
      <c r="L36" s="29" t="s">
        <v>242</v>
      </c>
    </row>
    <row r="37" spans="1:12" ht="30.75" thickBot="1" x14ac:dyDescent="0.3">
      <c r="A37" s="27">
        <v>10026</v>
      </c>
      <c r="B37" s="28">
        <v>45683</v>
      </c>
      <c r="C37" s="29" t="s">
        <v>295</v>
      </c>
      <c r="D37" s="29" t="s">
        <v>256</v>
      </c>
      <c r="E37" s="29" t="s">
        <v>253</v>
      </c>
      <c r="F37" s="29" t="s">
        <v>296</v>
      </c>
      <c r="G37" s="27">
        <v>4</v>
      </c>
      <c r="H37" s="27">
        <v>999</v>
      </c>
      <c r="I37" s="27">
        <v>2997</v>
      </c>
      <c r="J37" s="27">
        <v>15</v>
      </c>
      <c r="K37" s="27">
        <v>29</v>
      </c>
      <c r="L37" s="29" t="s">
        <v>257</v>
      </c>
    </row>
    <row r="38" spans="1:12" ht="30.75" thickBot="1" x14ac:dyDescent="0.3">
      <c r="A38" s="27">
        <v>10027</v>
      </c>
      <c r="B38" s="28">
        <v>45684</v>
      </c>
      <c r="C38" s="29" t="s">
        <v>297</v>
      </c>
      <c r="D38" s="29" t="s">
        <v>244</v>
      </c>
      <c r="E38" s="29" t="s">
        <v>245</v>
      </c>
      <c r="F38" s="29" t="s">
        <v>298</v>
      </c>
      <c r="G38" s="27">
        <v>3</v>
      </c>
      <c r="H38" s="27">
        <v>1499</v>
      </c>
      <c r="I38" s="27">
        <v>2998</v>
      </c>
      <c r="J38" s="27">
        <v>20</v>
      </c>
      <c r="K38" s="27">
        <v>45</v>
      </c>
      <c r="L38" s="29" t="s">
        <v>247</v>
      </c>
    </row>
    <row r="39" spans="1:12" ht="30.75" thickBot="1" x14ac:dyDescent="0.3">
      <c r="A39" s="27">
        <v>10028</v>
      </c>
      <c r="B39" s="28">
        <v>45685</v>
      </c>
      <c r="C39" s="29" t="s">
        <v>299</v>
      </c>
      <c r="D39" s="29" t="s">
        <v>249</v>
      </c>
      <c r="E39" s="29" t="s">
        <v>240</v>
      </c>
      <c r="F39" s="29" t="s">
        <v>300</v>
      </c>
      <c r="G39" s="27">
        <v>6</v>
      </c>
      <c r="H39" s="27">
        <v>1999</v>
      </c>
      <c r="I39" s="27">
        <v>5997</v>
      </c>
      <c r="J39" s="27">
        <v>25</v>
      </c>
      <c r="K39" s="27">
        <v>32</v>
      </c>
      <c r="L39" s="29" t="s">
        <v>251</v>
      </c>
    </row>
    <row r="40" spans="1:12" ht="30.75" thickBot="1" x14ac:dyDescent="0.3">
      <c r="A40" s="27">
        <v>10029</v>
      </c>
      <c r="B40" s="28">
        <v>45686</v>
      </c>
      <c r="C40" s="29" t="s">
        <v>301</v>
      </c>
      <c r="D40" s="29" t="s">
        <v>239</v>
      </c>
      <c r="E40" s="29" t="s">
        <v>253</v>
      </c>
      <c r="F40" s="29" t="s">
        <v>302</v>
      </c>
      <c r="G40" s="27">
        <v>7</v>
      </c>
      <c r="H40" s="27">
        <v>2499</v>
      </c>
      <c r="I40" s="27">
        <v>9996</v>
      </c>
      <c r="J40" s="27">
        <v>30</v>
      </c>
      <c r="K40" s="27">
        <v>27</v>
      </c>
      <c r="L40" s="29" t="s">
        <v>242</v>
      </c>
    </row>
    <row r="41" spans="1:12" ht="30.75" thickBot="1" x14ac:dyDescent="0.3">
      <c r="A41" s="27">
        <v>10030</v>
      </c>
      <c r="B41" s="28">
        <v>45687</v>
      </c>
      <c r="C41" s="29" t="s">
        <v>303</v>
      </c>
      <c r="D41" s="29" t="s">
        <v>256</v>
      </c>
      <c r="E41" s="29" t="s">
        <v>245</v>
      </c>
      <c r="F41" s="29" t="s">
        <v>304</v>
      </c>
      <c r="G41" s="27">
        <v>6</v>
      </c>
      <c r="H41" s="27">
        <v>2999</v>
      </c>
      <c r="I41" s="27">
        <v>26991</v>
      </c>
      <c r="J41" s="27">
        <v>18</v>
      </c>
      <c r="K41" s="27">
        <v>39</v>
      </c>
      <c r="L41" s="29" t="s">
        <v>257</v>
      </c>
    </row>
    <row r="42" spans="1:12" ht="30.75" thickBot="1" x14ac:dyDescent="0.3">
      <c r="A42" s="27">
        <v>10031</v>
      </c>
      <c r="B42" s="28">
        <v>45688</v>
      </c>
      <c r="C42" s="29" t="s">
        <v>305</v>
      </c>
      <c r="D42" s="29" t="s">
        <v>244</v>
      </c>
      <c r="E42" s="29" t="s">
        <v>240</v>
      </c>
      <c r="F42" s="29" t="s">
        <v>306</v>
      </c>
      <c r="G42" s="27">
        <v>3</v>
      </c>
      <c r="H42" s="27">
        <v>999</v>
      </c>
      <c r="I42" s="27">
        <v>999</v>
      </c>
      <c r="J42" s="27">
        <v>15</v>
      </c>
      <c r="K42" s="27">
        <v>28</v>
      </c>
      <c r="L42" s="29" t="s">
        <v>247</v>
      </c>
    </row>
    <row r="43" spans="1:12" ht="30.75" thickBot="1" x14ac:dyDescent="0.3">
      <c r="A43" s="27">
        <v>10032</v>
      </c>
      <c r="B43" s="28">
        <v>45689</v>
      </c>
      <c r="C43" s="29" t="s">
        <v>307</v>
      </c>
      <c r="D43" s="29" t="s">
        <v>249</v>
      </c>
      <c r="E43" s="29" t="s">
        <v>253</v>
      </c>
      <c r="F43" s="29" t="s">
        <v>308</v>
      </c>
      <c r="G43" s="27">
        <v>3</v>
      </c>
      <c r="H43" s="27">
        <v>1499</v>
      </c>
      <c r="I43" s="27">
        <v>2998</v>
      </c>
      <c r="J43" s="27">
        <v>20</v>
      </c>
      <c r="K43" s="27">
        <v>35</v>
      </c>
      <c r="L43" s="29" t="s">
        <v>251</v>
      </c>
    </row>
    <row r="44" spans="1:12" ht="30.75" thickBot="1" x14ac:dyDescent="0.3">
      <c r="A44" s="27">
        <v>10033</v>
      </c>
      <c r="B44" s="28">
        <v>45690</v>
      </c>
      <c r="C44" s="29" t="s">
        <v>309</v>
      </c>
      <c r="D44" s="29" t="s">
        <v>239</v>
      </c>
      <c r="E44" s="29" t="s">
        <v>245</v>
      </c>
      <c r="F44" s="29" t="s">
        <v>310</v>
      </c>
      <c r="G44" s="27">
        <v>7</v>
      </c>
      <c r="H44" s="27">
        <v>1999</v>
      </c>
      <c r="I44" s="27">
        <v>5997</v>
      </c>
      <c r="J44" s="27">
        <v>25</v>
      </c>
      <c r="K44" s="27">
        <v>40</v>
      </c>
      <c r="L44" s="29" t="s">
        <v>242</v>
      </c>
    </row>
    <row r="45" spans="1:12" ht="30.75" thickBot="1" x14ac:dyDescent="0.3">
      <c r="A45" s="27">
        <v>10034</v>
      </c>
      <c r="B45" s="28">
        <v>45691</v>
      </c>
      <c r="C45" s="29" t="s">
        <v>311</v>
      </c>
      <c r="D45" s="29" t="s">
        <v>256</v>
      </c>
      <c r="E45" s="29" t="s">
        <v>240</v>
      </c>
      <c r="F45" s="29" t="s">
        <v>312</v>
      </c>
      <c r="G45" s="27">
        <v>10</v>
      </c>
      <c r="H45" s="27">
        <v>2499</v>
      </c>
      <c r="I45" s="27">
        <v>9996</v>
      </c>
      <c r="J45" s="27">
        <v>30</v>
      </c>
      <c r="K45" s="27">
        <v>24</v>
      </c>
      <c r="L45" s="29" t="s">
        <v>257</v>
      </c>
    </row>
    <row r="46" spans="1:12" ht="30.75" thickBot="1" x14ac:dyDescent="0.3">
      <c r="A46" s="27">
        <v>10035</v>
      </c>
      <c r="B46" s="28">
        <v>45692</v>
      </c>
      <c r="C46" s="29" t="s">
        <v>313</v>
      </c>
      <c r="D46" s="29" t="s">
        <v>244</v>
      </c>
      <c r="E46" s="29" t="s">
        <v>253</v>
      </c>
      <c r="F46" s="29" t="s">
        <v>314</v>
      </c>
      <c r="G46" s="27">
        <v>2</v>
      </c>
      <c r="H46" s="27">
        <v>2999</v>
      </c>
      <c r="I46" s="27">
        <v>14995</v>
      </c>
      <c r="J46" s="27">
        <v>18</v>
      </c>
      <c r="K46" s="27">
        <v>31</v>
      </c>
      <c r="L46" s="29" t="s">
        <v>247</v>
      </c>
    </row>
    <row r="47" spans="1:12" ht="30.75" thickBot="1" x14ac:dyDescent="0.3">
      <c r="A47" s="27">
        <v>10036</v>
      </c>
      <c r="B47" s="28">
        <v>45693</v>
      </c>
      <c r="C47" s="29" t="s">
        <v>315</v>
      </c>
      <c r="D47" s="29" t="s">
        <v>249</v>
      </c>
      <c r="E47" s="29" t="s">
        <v>245</v>
      </c>
      <c r="F47" s="29" t="s">
        <v>316</v>
      </c>
      <c r="G47" s="27">
        <v>6</v>
      </c>
      <c r="H47" s="27">
        <v>999</v>
      </c>
      <c r="I47" s="27">
        <v>999</v>
      </c>
      <c r="J47" s="27">
        <v>15</v>
      </c>
      <c r="K47" s="27">
        <v>29</v>
      </c>
      <c r="L47" s="29" t="s">
        <v>251</v>
      </c>
    </row>
    <row r="48" spans="1:12" ht="30.75" thickBot="1" x14ac:dyDescent="0.3">
      <c r="A48" s="27">
        <v>10037</v>
      </c>
      <c r="B48" s="28">
        <v>45694</v>
      </c>
      <c r="C48" s="29" t="s">
        <v>317</v>
      </c>
      <c r="D48" s="29" t="s">
        <v>239</v>
      </c>
      <c r="E48" s="29" t="s">
        <v>240</v>
      </c>
      <c r="F48" s="29" t="s">
        <v>318</v>
      </c>
      <c r="G48" s="27">
        <v>7</v>
      </c>
      <c r="H48" s="27">
        <v>1499</v>
      </c>
      <c r="I48" s="27">
        <v>2998</v>
      </c>
      <c r="J48" s="27">
        <v>20</v>
      </c>
      <c r="K48" s="27">
        <v>45</v>
      </c>
      <c r="L48" s="29" t="s">
        <v>242</v>
      </c>
    </row>
    <row r="49" spans="1:12" ht="30.75" thickBot="1" x14ac:dyDescent="0.3">
      <c r="A49" s="27">
        <v>10038</v>
      </c>
      <c r="B49" s="28">
        <v>45695</v>
      </c>
      <c r="C49" s="29" t="s">
        <v>319</v>
      </c>
      <c r="D49" s="29" t="s">
        <v>256</v>
      </c>
      <c r="E49" s="29" t="s">
        <v>253</v>
      </c>
      <c r="F49" s="29" t="s">
        <v>320</v>
      </c>
      <c r="G49" s="27">
        <v>10</v>
      </c>
      <c r="H49" s="27">
        <v>1999</v>
      </c>
      <c r="I49" s="27">
        <v>3998</v>
      </c>
      <c r="J49" s="27">
        <v>25</v>
      </c>
      <c r="K49" s="27">
        <v>32</v>
      </c>
      <c r="L49" s="29" t="s">
        <v>257</v>
      </c>
    </row>
    <row r="50" spans="1:12" ht="30.75" thickBot="1" x14ac:dyDescent="0.3">
      <c r="A50" s="27">
        <v>10039</v>
      </c>
      <c r="B50" s="28">
        <v>45696</v>
      </c>
      <c r="C50" s="29" t="s">
        <v>321</v>
      </c>
      <c r="D50" s="29" t="s">
        <v>244</v>
      </c>
      <c r="E50" s="29" t="s">
        <v>245</v>
      </c>
      <c r="F50" s="29" t="s">
        <v>322</v>
      </c>
      <c r="G50" s="27">
        <v>7</v>
      </c>
      <c r="H50" s="27">
        <v>2499</v>
      </c>
      <c r="I50" s="27">
        <v>9996</v>
      </c>
      <c r="J50" s="27">
        <v>30</v>
      </c>
      <c r="K50" s="27">
        <v>27</v>
      </c>
      <c r="L50" s="29" t="s">
        <v>247</v>
      </c>
    </row>
    <row r="51" spans="1:12" ht="30.75" thickBot="1" x14ac:dyDescent="0.3">
      <c r="A51" s="27">
        <v>10040</v>
      </c>
      <c r="B51" s="28">
        <v>45697</v>
      </c>
      <c r="C51" s="29" t="s">
        <v>323</v>
      </c>
      <c r="D51" s="29" t="s">
        <v>249</v>
      </c>
      <c r="E51" s="29" t="s">
        <v>240</v>
      </c>
      <c r="F51" s="29" t="s">
        <v>324</v>
      </c>
      <c r="G51" s="27">
        <v>7</v>
      </c>
      <c r="H51" s="27">
        <v>2999</v>
      </c>
      <c r="I51" s="27">
        <v>8997</v>
      </c>
      <c r="J51" s="27">
        <v>18</v>
      </c>
      <c r="K51" s="27">
        <v>39</v>
      </c>
      <c r="L51" s="29" t="s">
        <v>251</v>
      </c>
    </row>
    <row r="52" spans="1:12" ht="30.75" thickBot="1" x14ac:dyDescent="0.3">
      <c r="A52" s="27">
        <v>10041</v>
      </c>
      <c r="B52" s="28">
        <v>45698</v>
      </c>
      <c r="C52" s="29" t="s">
        <v>325</v>
      </c>
      <c r="D52" s="29" t="s">
        <v>239</v>
      </c>
      <c r="E52" s="29" t="s">
        <v>253</v>
      </c>
      <c r="F52" s="29" t="s">
        <v>326</v>
      </c>
      <c r="G52" s="27">
        <v>5</v>
      </c>
      <c r="H52" s="27">
        <v>999</v>
      </c>
      <c r="I52" s="27">
        <v>999</v>
      </c>
      <c r="J52" s="27">
        <v>15</v>
      </c>
      <c r="K52" s="27">
        <v>28</v>
      </c>
      <c r="L52" s="29" t="s">
        <v>242</v>
      </c>
    </row>
    <row r="53" spans="1:12" ht="30.75" thickBot="1" x14ac:dyDescent="0.3">
      <c r="A53" s="27">
        <v>10042</v>
      </c>
      <c r="B53" s="28">
        <v>45699</v>
      </c>
      <c r="C53" s="29" t="s">
        <v>327</v>
      </c>
      <c r="D53" s="29" t="s">
        <v>256</v>
      </c>
      <c r="E53" s="29" t="s">
        <v>245</v>
      </c>
      <c r="F53" s="29" t="s">
        <v>328</v>
      </c>
      <c r="G53" s="27">
        <v>8</v>
      </c>
      <c r="H53" s="27">
        <v>1499</v>
      </c>
      <c r="I53" s="27">
        <v>2998</v>
      </c>
      <c r="J53" s="27">
        <v>20</v>
      </c>
      <c r="K53" s="27">
        <v>35</v>
      </c>
      <c r="L53" s="29" t="s">
        <v>257</v>
      </c>
    </row>
    <row r="54" spans="1:12" ht="30.75" thickBot="1" x14ac:dyDescent="0.3">
      <c r="A54" s="27">
        <v>10043</v>
      </c>
      <c r="B54" s="28">
        <v>45700</v>
      </c>
      <c r="C54" s="29" t="s">
        <v>329</v>
      </c>
      <c r="D54" s="29" t="s">
        <v>244</v>
      </c>
      <c r="E54" s="29" t="s">
        <v>240</v>
      </c>
      <c r="F54" s="29" t="s">
        <v>330</v>
      </c>
      <c r="G54" s="27">
        <v>1</v>
      </c>
      <c r="H54" s="27">
        <v>1999</v>
      </c>
      <c r="I54" s="27">
        <v>5997</v>
      </c>
      <c r="J54" s="27">
        <v>25</v>
      </c>
      <c r="K54" s="27">
        <v>40</v>
      </c>
      <c r="L54" s="29" t="s">
        <v>247</v>
      </c>
    </row>
    <row r="55" spans="1:12" ht="30.75" thickBot="1" x14ac:dyDescent="0.3">
      <c r="A55" s="27">
        <v>10044</v>
      </c>
      <c r="B55" s="28">
        <v>45701</v>
      </c>
      <c r="C55" s="29" t="s">
        <v>331</v>
      </c>
      <c r="D55" s="29" t="s">
        <v>249</v>
      </c>
      <c r="E55" s="29" t="s">
        <v>253</v>
      </c>
      <c r="F55" s="29" t="s">
        <v>216</v>
      </c>
      <c r="G55" s="27">
        <v>6</v>
      </c>
      <c r="H55" s="27">
        <v>2499</v>
      </c>
      <c r="I55" s="27">
        <v>9996</v>
      </c>
      <c r="J55" s="27">
        <v>30</v>
      </c>
      <c r="K55" s="27">
        <v>24</v>
      </c>
      <c r="L55" s="29" t="s">
        <v>251</v>
      </c>
    </row>
    <row r="56" spans="1:12" ht="30.75" thickBot="1" x14ac:dyDescent="0.3">
      <c r="A56" s="27">
        <v>10045</v>
      </c>
      <c r="B56" s="28">
        <v>45702</v>
      </c>
      <c r="C56" s="29" t="s">
        <v>332</v>
      </c>
      <c r="D56" s="29" t="s">
        <v>239</v>
      </c>
      <c r="E56" s="29" t="s">
        <v>245</v>
      </c>
      <c r="F56" s="29" t="s">
        <v>333</v>
      </c>
      <c r="G56" s="27">
        <v>6</v>
      </c>
      <c r="H56" s="27">
        <v>2999</v>
      </c>
      <c r="I56" s="27">
        <v>14995</v>
      </c>
      <c r="J56" s="27">
        <v>18</v>
      </c>
      <c r="K56" s="27">
        <v>31</v>
      </c>
      <c r="L56" s="29" t="s">
        <v>242</v>
      </c>
    </row>
    <row r="57" spans="1:12" ht="30.75" thickBot="1" x14ac:dyDescent="0.3">
      <c r="A57" s="27">
        <v>10046</v>
      </c>
      <c r="B57" s="28">
        <v>45703</v>
      </c>
      <c r="C57" s="29" t="s">
        <v>334</v>
      </c>
      <c r="D57" s="29" t="s">
        <v>256</v>
      </c>
      <c r="E57" s="29" t="s">
        <v>240</v>
      </c>
      <c r="F57" s="29" t="s">
        <v>226</v>
      </c>
      <c r="G57" s="27">
        <v>8</v>
      </c>
      <c r="H57" s="27">
        <v>999</v>
      </c>
      <c r="I57" s="27">
        <v>1998</v>
      </c>
      <c r="J57" s="27">
        <v>15</v>
      </c>
      <c r="K57" s="27">
        <v>29</v>
      </c>
      <c r="L57" s="29" t="s">
        <v>257</v>
      </c>
    </row>
    <row r="58" spans="1:12" ht="30.75" thickBot="1" x14ac:dyDescent="0.3">
      <c r="A58" s="27">
        <v>10047</v>
      </c>
      <c r="B58" s="28">
        <v>45704</v>
      </c>
      <c r="C58" s="29" t="s">
        <v>335</v>
      </c>
      <c r="D58" s="29" t="s">
        <v>244</v>
      </c>
      <c r="E58" s="29" t="s">
        <v>253</v>
      </c>
      <c r="F58" s="29" t="s">
        <v>336</v>
      </c>
      <c r="G58" s="27">
        <v>4</v>
      </c>
      <c r="H58" s="27">
        <v>1499</v>
      </c>
      <c r="I58" s="27">
        <v>2998</v>
      </c>
      <c r="J58" s="27">
        <v>20</v>
      </c>
      <c r="K58" s="27">
        <v>45</v>
      </c>
      <c r="L58" s="29" t="s">
        <v>247</v>
      </c>
    </row>
    <row r="59" spans="1:12" ht="30.75" thickBot="1" x14ac:dyDescent="0.3">
      <c r="A59" s="27">
        <v>10048</v>
      </c>
      <c r="B59" s="28">
        <v>45705</v>
      </c>
      <c r="C59" s="29" t="s">
        <v>337</v>
      </c>
      <c r="D59" s="29" t="s">
        <v>249</v>
      </c>
      <c r="E59" s="29" t="s">
        <v>245</v>
      </c>
      <c r="F59" s="29" t="s">
        <v>338</v>
      </c>
      <c r="G59" s="27">
        <v>6</v>
      </c>
      <c r="H59" s="27">
        <v>1999</v>
      </c>
      <c r="I59" s="27">
        <v>5997</v>
      </c>
      <c r="J59" s="27">
        <v>25</v>
      </c>
      <c r="K59" s="27">
        <v>32</v>
      </c>
      <c r="L59" s="29" t="s">
        <v>251</v>
      </c>
    </row>
    <row r="60" spans="1:12" ht="30.75" thickBot="1" x14ac:dyDescent="0.3">
      <c r="A60" s="27">
        <v>10049</v>
      </c>
      <c r="B60" s="28">
        <v>45706</v>
      </c>
      <c r="C60" s="29" t="s">
        <v>339</v>
      </c>
      <c r="D60" s="29" t="s">
        <v>239</v>
      </c>
      <c r="E60" s="29" t="s">
        <v>240</v>
      </c>
      <c r="F60" s="29" t="s">
        <v>340</v>
      </c>
      <c r="G60" s="27">
        <v>9</v>
      </c>
      <c r="H60" s="27">
        <v>2499</v>
      </c>
      <c r="I60" s="27">
        <v>22491</v>
      </c>
      <c r="J60" s="27">
        <v>30</v>
      </c>
      <c r="K60" s="27">
        <v>27</v>
      </c>
      <c r="L60" s="29" t="s">
        <v>242</v>
      </c>
    </row>
    <row r="61" spans="1:12" ht="30.75" thickBot="1" x14ac:dyDescent="0.3">
      <c r="A61" s="27">
        <v>10050</v>
      </c>
      <c r="B61" s="28">
        <v>45707</v>
      </c>
      <c r="C61" s="29" t="s">
        <v>341</v>
      </c>
      <c r="D61" s="29" t="s">
        <v>256</v>
      </c>
      <c r="E61" s="29" t="s">
        <v>253</v>
      </c>
      <c r="F61" s="29" t="s">
        <v>342</v>
      </c>
      <c r="G61" s="27">
        <v>8</v>
      </c>
      <c r="H61" s="27">
        <v>2999</v>
      </c>
      <c r="I61" s="27">
        <v>14995</v>
      </c>
      <c r="J61" s="27">
        <v>18</v>
      </c>
      <c r="K61" s="27">
        <v>39</v>
      </c>
      <c r="L61" s="29" t="s">
        <v>257</v>
      </c>
    </row>
  </sheetData>
  <mergeCells count="2">
    <mergeCell ref="A1:O9"/>
    <mergeCell ref="C10:J10"/>
  </mergeCells>
  <dataValidations count="1">
    <dataValidation type="list" allowBlank="1" showInputMessage="1" showErrorMessage="1" sqref="O14" xr:uid="{F698C449-3E7B-4955-84C6-F8226048A177}">
      <formula1>$F$13:$F$61</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415F68-EA19-4E5A-981B-5A90F10A01D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experience (Years &amp; Months)</vt:lpstr>
      <vt:lpstr> Road Accident Analysis</vt:lpstr>
      <vt:lpstr>Road_Accident_Dataset_100_Rows</vt:lpstr>
      <vt:lpstr>Road Accident Dashboard.</vt:lpstr>
      <vt:lpstr>Insights from the Road Accident</vt:lpstr>
      <vt:lpstr>use Macros to highlight stock c</vt:lpstr>
      <vt:lpstr>Create a drop-down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Poonam Mishra</dc:creator>
  <cp:lastModifiedBy>Poonam Mishra</cp:lastModifiedBy>
  <dcterms:created xsi:type="dcterms:W3CDTF">2026-01-06T19:13:12Z</dcterms:created>
  <dcterms:modified xsi:type="dcterms:W3CDTF">2026-01-07T14:34:18Z</dcterms:modified>
</cp:coreProperties>
</file>